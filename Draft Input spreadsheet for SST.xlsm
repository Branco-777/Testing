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527" codeName="{82680DD9-3F13-7979-5B5F-3D2375947C00}"/>
  <workbookPr codeName="ThisWorkbook"/>
  <mc:AlternateContent xmlns:mc="http://schemas.openxmlformats.org/markup-compatibility/2006">
    <mc:Choice Requires="x15">
      <x15ac:absPath xmlns:x15ac="http://schemas.microsoft.com/office/spreadsheetml/2010/11/ac" url="https://justretirement.sharepoint.com/sites/FinancialResilienceTeam/Shared Documents/General/07 Workstream 2/Testing/"/>
    </mc:Choice>
  </mc:AlternateContent>
  <xr:revisionPtr revIDLastSave="362" documentId="8_{DB1B0AF0-8624-4C93-ADBD-009C99FD4B24}" xr6:coauthVersionLast="47" xr6:coauthVersionMax="47" xr10:uidLastSave="{62BDA56F-F101-427F-83B4-91AF1E3FB7A8}"/>
  <bookViews>
    <workbookView xWindow="-6030" yWindow="-21720" windowWidth="51840" windowHeight="21120" activeTab="1" xr2:uid="{78837FC8-443A-47D1-8EAC-19DD38348C89}"/>
  </bookViews>
  <sheets>
    <sheet name="EUC Coversheet" sheetId="2" r:id="rId1"/>
    <sheet name="I. Control" sheetId="3" r:id="rId2"/>
    <sheet name="P. Parameter" sheetId="1" r:id="rId3"/>
    <sheet name="I. Other Inputs" sheetId="7" r:id="rId4"/>
    <sheet name="I. Stresses" sheetId="4" r:id="rId5"/>
    <sheet name="I. Credit Stresses" sheetId="5" r:id="rId6"/>
    <sheet name="I.BalanceSheet" sheetId="6" r:id="rId7"/>
    <sheet name="O. Own Funds Deltas" sheetId="8" r:id="rId8"/>
  </sheets>
  <externalReferences>
    <externalReference r:id="rId9"/>
    <externalReference r:id="rId10"/>
    <externalReference r:id="rId11"/>
    <externalReference r:id="rId12"/>
    <externalReference r:id="rId13"/>
  </externalReferences>
  <definedNames>
    <definedName name="I_Valuation_Date">'I. Control'!$D$11</definedName>
    <definedName name="ListNames">REPLACE(GET.WORKBOOK(1),1,FIND("]",GET.WORKBOOK(1)),"")</definedName>
    <definedName name="p_25_MCR">'I. Other Inputs'!$C$22</definedName>
    <definedName name="p_45_MCR">'I. Other Inputs'!$C$23</definedName>
    <definedName name="p_IF_LACDT_Offset">'I. Other Inputs'!$C$9</definedName>
    <definedName name="p_IFRS_Tax_Rates">'I. Other Inputs'!$C$6:$C$7</definedName>
    <definedName name="p_LT_Tax_Rate">'I. Other Inputs'!$C$8</definedName>
    <definedName name="p_MCR_T2_Restrict">'I. Other Inputs'!$C$20</definedName>
    <definedName name="p_NB_LACDT_Offset">'I. Other Inputs'!$C$10</definedName>
    <definedName name="p_RT1_Restrict">'I. Other Inputs'!$C$14</definedName>
    <definedName name="p_T2T3_Restrict">'I. Other Inputs'!$C$15</definedName>
    <definedName name="p_T3_Restrict">'I. Other Inputs'!$C$16</definedName>
    <definedName name="SST_Stage1_Elapsed">'I. Control'!$L$76</definedName>
    <definedName name="SST_Stage1_Finish">'I. Control'!$L$75</definedName>
    <definedName name="SST_Stage1_LastRun">'I. Control'!$L$73</definedName>
    <definedName name="SST_Stage1_LastSuccessfulOutput">'I. Control'!$L$79</definedName>
    <definedName name="SST_Stage1_Panel">'I. Control'!$H$72:$O$82</definedName>
    <definedName name="SST_Stage1_Start">'I. Control'!$L$74</definedName>
    <definedName name="SST_Stage1_Status">'I. Control'!$L$78</definedName>
    <definedName name="SST_Stage1_User">'I. Control'!$L$77</definedName>
    <definedName name="SST_Stage2_Elapsed">'I. Control'!$L$89</definedName>
    <definedName name="SST_Stage2_Finish">'I. Control'!$L$88</definedName>
    <definedName name="SST_Stage2_Input">'I. Control'!$L$81</definedName>
    <definedName name="SST_Stage2_InputRun">'I. Control'!$L$92</definedName>
    <definedName name="SST_Stage2_LastRun">'I. Control'!$L$86</definedName>
    <definedName name="SST_Stage2_LastSuccessfulResults">'I. Control'!$L$94</definedName>
    <definedName name="SST_Stage2_Panel">'I. Control'!$H$85:$O$95</definedName>
    <definedName name="SST_Stage2_Start">'I. Control'!$L$87</definedName>
    <definedName name="SST_Stage2_Status">'I. Control'!$L$91</definedName>
    <definedName name="SST_Stage2_User">'I. Control'!$L$90</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warnBelowVersion="2" setVersion="2"/>
    </ext>
  </extLst>
</workbook>
</file>

<file path=xl/calcChain.xml><?xml version="1.0" encoding="utf-8"?>
<calcChain xmlns="http://schemas.openxmlformats.org/spreadsheetml/2006/main">
  <c r="K31" i="8" l="1"/>
  <c r="L31" i="8"/>
  <c r="M31" i="8"/>
  <c r="N31" i="8"/>
  <c r="O31" i="8"/>
  <c r="P31" i="8"/>
  <c r="Q31" i="8"/>
  <c r="R31" i="8"/>
  <c r="S31" i="8"/>
  <c r="C31" i="8"/>
  <c r="D27" i="8"/>
  <c r="D31" i="8" s="1"/>
  <c r="E27" i="8"/>
  <c r="E31" i="8" s="1"/>
  <c r="F27" i="8"/>
  <c r="F31" i="8" s="1"/>
  <c r="G27" i="8"/>
  <c r="G31" i="8" s="1"/>
  <c r="H27" i="8"/>
  <c r="H31" i="8" s="1"/>
  <c r="I27" i="8"/>
  <c r="I31" i="8" s="1"/>
  <c r="J27" i="8"/>
  <c r="J31" i="8" s="1"/>
  <c r="K27" i="8"/>
  <c r="L27" i="8"/>
  <c r="M27" i="8"/>
  <c r="N27" i="8"/>
  <c r="O27" i="8"/>
  <c r="P27" i="8"/>
  <c r="Q27" i="8"/>
  <c r="R27" i="8"/>
  <c r="S27" i="8"/>
  <c r="C27" i="8"/>
  <c r="D21" i="8"/>
  <c r="E21" i="8"/>
  <c r="F21" i="8"/>
  <c r="G21" i="8"/>
  <c r="H21" i="8"/>
  <c r="I21" i="8"/>
  <c r="J21" i="8"/>
  <c r="K21" i="8"/>
  <c r="L21" i="8"/>
  <c r="M21" i="8"/>
  <c r="N21" i="8"/>
  <c r="O21" i="8"/>
  <c r="P21" i="8"/>
  <c r="Q21" i="8"/>
  <c r="R21" i="8"/>
  <c r="S21" i="8"/>
  <c r="C21" i="8"/>
  <c r="D8" i="8"/>
  <c r="E8" i="8"/>
  <c r="F8" i="8"/>
  <c r="G8" i="8"/>
  <c r="H8" i="8"/>
  <c r="I8" i="8"/>
  <c r="J8" i="8"/>
  <c r="K8" i="8"/>
  <c r="L8" i="8"/>
  <c r="M8" i="8"/>
  <c r="N8" i="8"/>
  <c r="O8" i="8"/>
  <c r="P8" i="8"/>
  <c r="Q8" i="8"/>
  <c r="R8" i="8"/>
  <c r="S8" i="8"/>
  <c r="C8" i="8"/>
  <c r="M5" i="8"/>
  <c r="N5" i="8"/>
  <c r="O5" i="8"/>
  <c r="P5" i="8"/>
  <c r="Q5" i="8"/>
  <c r="R5" i="8"/>
  <c r="S5" i="8"/>
  <c r="S6" i="8"/>
  <c r="R6" i="8"/>
  <c r="Q6" i="8"/>
  <c r="P6" i="8"/>
  <c r="O6" i="8"/>
  <c r="N6" i="8"/>
  <c r="M6" i="8"/>
  <c r="K5" i="8"/>
  <c r="L5" i="8"/>
  <c r="L6" i="8"/>
  <c r="K6" i="8"/>
  <c r="J6" i="8"/>
  <c r="I6" i="8"/>
  <c r="H6" i="8"/>
  <c r="G6" i="8"/>
  <c r="F6" i="8"/>
  <c r="E6" i="8"/>
  <c r="D6" i="8"/>
  <c r="C6" i="8"/>
  <c r="D5" i="8"/>
  <c r="E5" i="8"/>
  <c r="F5" i="8"/>
  <c r="G5" i="8"/>
  <c r="H5" i="8"/>
  <c r="I5" i="8"/>
  <c r="J5" i="8"/>
  <c r="C5" i="8"/>
  <c r="C5" i="6"/>
  <c r="C38" i="6"/>
  <c r="C37" i="6"/>
  <c r="C39" i="6" s="1"/>
  <c r="C24" i="6" s="1"/>
  <c r="C25" i="6"/>
  <c r="C23" i="6"/>
  <c r="C21" i="6"/>
  <c r="C22" i="6" s="1"/>
  <c r="C28" i="6" s="1"/>
  <c r="C15" i="6"/>
  <c r="C10" i="6"/>
  <c r="C6" i="7" a="1"/>
  <c r="C36" i="7"/>
  <c r="C31" i="7"/>
  <c r="C29" i="7"/>
  <c r="C9" i="7"/>
  <c r="I8" i="2" a="1"/>
  <c r="C30" i="6" l="1"/>
  <c r="C29" i="6"/>
  <c r="C32" i="6" l="1"/>
  <c r="C9" i="6" s="1"/>
  <c r="C11" i="6" s="1"/>
  <c r="C12" i="6"/>
  <c r="D81" i="3" l="1"/>
  <c r="C16" i="6" l="1"/>
  <c r="C18" i="6" l="1"/>
  <c r="C17"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tc={D3773962-B037-437B-ABE9-229959647011}</author>
    <author>tc={93A21484-AD74-46D7-909B-F072CEB6147B}</author>
  </authors>
  <commentList>
    <comment ref="C44" authorId="0" shapeId="0" xr:uid="{D3773962-B037-437B-ABE9-229959647011}">
      <text>
        <t>[Threaded comment]
Your version of Excel allows you to read this threaded comment; however, any edits to it will get removed if the file is opened in a newer version of Excel. Learn more: https://go.microsoft.com/fwlink/?linkid=870924
Comment:
    Should exclude all derivative instruments where modelled separately</t>
      </text>
    </comment>
    <comment ref="C45" authorId="1" shapeId="0" xr:uid="{93A21484-AD74-46D7-909B-F072CEB6147B}">
      <text>
        <t>[Threaded comment]
Your version of Excel allows you to read this threaded comment; however, any edits to it will get removed if the file is opened in a newer version of Excel. Learn more: https://go.microsoft.com/fwlink/?linkid=870924
Comment:
    Should exclude all derivative instruments where modelled separately</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<sst xmlns="http://schemas.openxmlformats.org/spreadsheetml/2006/main" count="540" uniqueCount="351">
  <si>
    <t>Version/Change</t>
  </si>
  <si>
    <t>Purpose</t>
  </si>
  <si>
    <t>EUC Policy Compliance</t>
  </si>
  <si>
    <t>Key</t>
  </si>
  <si>
    <t>Confidentiality:</t>
  </si>
  <si>
    <t>Company Confidential</t>
  </si>
  <si>
    <t>Workbook Outline</t>
  </si>
  <si>
    <t>EUC Details</t>
  </si>
  <si>
    <t>Formatting</t>
  </si>
  <si>
    <t>The purpose of this workbook is inform rate hedging required to manage balance sheet sensitivity to interest and inflation rates</t>
  </si>
  <si>
    <t>Version Number</t>
  </si>
  <si>
    <t>Description/Reason for Change</t>
  </si>
  <si>
    <t>Date of Change</t>
  </si>
  <si>
    <t>Requested by</t>
  </si>
  <si>
    <t>Approved by</t>
  </si>
  <si>
    <t>EUC Pol Ref</t>
  </si>
  <si>
    <t>Notes</t>
  </si>
  <si>
    <t>EUC Owner to complete</t>
  </si>
  <si>
    <t>Format</t>
  </si>
  <si>
    <t>Description</t>
  </si>
  <si>
    <t>Worksheet</t>
  </si>
  <si>
    <t>EUC Name</t>
  </si>
  <si>
    <t>2.3.1</t>
  </si>
  <si>
    <t>See relevant section of EUC Policy</t>
  </si>
  <si>
    <t>User inputs</t>
  </si>
  <si>
    <t>P. Parameter</t>
  </si>
  <si>
    <t>Owner</t>
  </si>
  <si>
    <t>Business Owner of EUC (Name and Department)</t>
  </si>
  <si>
    <t>Parameters</t>
  </si>
  <si>
    <t>I. Control</t>
  </si>
  <si>
    <t>All output will be at market condition date (plus stress); for valuation date, must set MCD = VD</t>
  </si>
  <si>
    <t>Operational Frequency</t>
  </si>
  <si>
    <t>N/a</t>
  </si>
  <si>
    <t>Per Dropdown - Frequency of EUC usage</t>
  </si>
  <si>
    <t>Data</t>
  </si>
  <si>
    <t>I. Other</t>
  </si>
  <si>
    <t>This sheet is for other adjustments to the output, calculated outside of model</t>
  </si>
  <si>
    <t>Process Name</t>
  </si>
  <si>
    <t>Hard-coded values</t>
  </si>
  <si>
    <t>I. Stresses</t>
  </si>
  <si>
    <t>User defined stresses to run; must insert rows before last used row in order to expand range</t>
  </si>
  <si>
    <t>Control ID Number</t>
  </si>
  <si>
    <t>Macro generated output</t>
  </si>
  <si>
    <t>I. PreRetirement</t>
  </si>
  <si>
    <t>Input sheet for pre-retirement adjustments to deferred liabilities which have different escalation pre- and post-retirement</t>
  </si>
  <si>
    <t>Intentionally blank cells</t>
  </si>
  <si>
    <t>I. BalanceSheet</t>
  </si>
  <si>
    <t>This sheet is for balance sheet inputs used both for reconciliation and to complete the output balance sheet</t>
  </si>
  <si>
    <t xml:space="preserve">Risk Rating </t>
  </si>
  <si>
    <t>Calculated values</t>
  </si>
  <si>
    <t>I. Sensitivities</t>
  </si>
  <si>
    <t>This sheet is for sensitivities (e.g. from Reporting) used for interpolating balance sheet items not stressed by this model</t>
  </si>
  <si>
    <t>Outputs</t>
  </si>
  <si>
    <t>I. PrincipalComponents</t>
  </si>
  <si>
    <t>Input sheet for principal components for curve stresses (used in I. Stresses sheet)</t>
  </si>
  <si>
    <t>Checks</t>
  </si>
  <si>
    <t>C. BaseCFs</t>
  </si>
  <si>
    <t>Base cashflows for MAP and NMAP returned from MACalc</t>
  </si>
  <si>
    <t>Complexity</t>
  </si>
  <si>
    <t>2.2.2</t>
  </si>
  <si>
    <t>Choose High, Medium or Low from drop down list</t>
  </si>
  <si>
    <t>C. BalanceSheet</t>
  </si>
  <si>
    <t>Populated by model calling deriv-hm, MAcalc and LTMFlash</t>
  </si>
  <si>
    <t>Basis of Complexity</t>
  </si>
  <si>
    <t>Provide rationale for the chosen complexity</t>
  </si>
  <si>
    <t>C. BaseKRD</t>
  </si>
  <si>
    <t>Base KRD sensitivity populated by model calling deriv-hm, MAcalc and LTMFlash</t>
  </si>
  <si>
    <t>Impact</t>
  </si>
  <si>
    <t>2.2.1</t>
  </si>
  <si>
    <t>Impact to Financial/Regulatory Reporting.
Choose Material, Moderate or Minor from the drop down list</t>
  </si>
  <si>
    <t>C. MAP Assets</t>
  </si>
  <si>
    <t>Populated by model calling MAcalc</t>
  </si>
  <si>
    <t>Basis of Impact</t>
  </si>
  <si>
    <t>Provide rationale for the chosen impact</t>
  </si>
  <si>
    <t>C. NMAP Assets</t>
  </si>
  <si>
    <t>2.2</t>
  </si>
  <si>
    <t>Auto Calculated Based on 'Complexity' and 'Impact to Financial/Regulatory Reporting'.</t>
  </si>
  <si>
    <t>C. MAP Liabilities</t>
  </si>
  <si>
    <t>C. NMAP Liabilities</t>
  </si>
  <si>
    <t>Controls</t>
  </si>
  <si>
    <t>Naming</t>
  </si>
  <si>
    <t>C. Derivatives</t>
  </si>
  <si>
    <t>Populated by model calling deriv-hm</t>
  </si>
  <si>
    <t>C. Proposal</t>
  </si>
  <si>
    <t>This sheet calculates a notional swap proposal for neutral hedge position</t>
  </si>
  <si>
    <t>EUC Owner to detail: a) Details on Control and; b) Location of controls within EUC (Tab / Cell ref)</t>
  </si>
  <si>
    <t>Name</t>
  </si>
  <si>
    <t>O. BalSheet SII</t>
  </si>
  <si>
    <t>This sheet summarises estimated SII balance sheet in each stress scenario</t>
  </si>
  <si>
    <t xml:space="preserve">Version Control </t>
  </si>
  <si>
    <t>Detail location of control(s) within EUC - Tab/cell etc.</t>
  </si>
  <si>
    <t>I</t>
  </si>
  <si>
    <t>An inputs worksheet</t>
  </si>
  <si>
    <t>O. KRD SII</t>
  </si>
  <si>
    <t>This sheet summarises PV01 and IE01 by tenor</t>
  </si>
  <si>
    <t xml:space="preserve">Change Control </t>
  </si>
  <si>
    <t>2.3.2</t>
  </si>
  <si>
    <t>Complete 'Version/Change section</t>
  </si>
  <si>
    <t>D</t>
  </si>
  <si>
    <t>A data worksheet</t>
  </si>
  <si>
    <t>O. Charts</t>
  </si>
  <si>
    <t>This sheet presents summary chart MI</t>
  </si>
  <si>
    <t>Update 'EUC details'  section as appropriate</t>
  </si>
  <si>
    <t>P</t>
  </si>
  <si>
    <t>A parameters worksheet</t>
  </si>
  <si>
    <t>O. Checks</t>
  </si>
  <si>
    <t>This sheet is used to perform checks and controls on data and calculations</t>
  </si>
  <si>
    <t>Back-up</t>
  </si>
  <si>
    <t>2.3.4</t>
  </si>
  <si>
    <t>1) Details of server where Production version of EUC backed up</t>
  </si>
  <si>
    <t>C</t>
  </si>
  <si>
    <t>A calculations worksheet</t>
  </si>
  <si>
    <t>2) Location of Master copy of current version (in case Production version is corrupted) (e.g See H2 - Server Details and confirm server is backed up)</t>
  </si>
  <si>
    <t>O</t>
  </si>
  <si>
    <t>An outputs worksheet</t>
  </si>
  <si>
    <t>Assumptions</t>
  </si>
  <si>
    <t>Data Quality Control</t>
  </si>
  <si>
    <t>2.3.3</t>
  </si>
  <si>
    <t xml:space="preserve">1) Detail type of Data Quality check(s) E.g </t>
  </si>
  <si>
    <t>Reconciliations checks</t>
  </si>
  <si>
    <t>Integrity checks as part of the test phase or when the tool is used to generate an output</t>
  </si>
  <si>
    <t>2) 'Detail location of control(s) within EUC i.e. @ Input or @ Calculation.</t>
  </si>
  <si>
    <t xml:space="preserve">Data Intergrity Control </t>
  </si>
  <si>
    <t>1) Detail relevant control part(s) for your EUC;</t>
  </si>
  <si>
    <t>Protect Sheet</t>
  </si>
  <si>
    <t>Protect Workbook</t>
  </si>
  <si>
    <t>Limitations:</t>
  </si>
  <si>
    <t>Lock Cells</t>
  </si>
  <si>
    <t>Restricted Edit Range</t>
  </si>
  <si>
    <t>2) 'Detail location of control(s) within EUC - Tab/cell etc.</t>
  </si>
  <si>
    <t>Access Control</t>
  </si>
  <si>
    <t>2.3.5</t>
  </si>
  <si>
    <t xml:space="preserve">1) Detail type of Access control(s); </t>
  </si>
  <si>
    <t xml:space="preserve">Password Protected (confirm EUC is passowrd protested/where passord is retained) </t>
  </si>
  <si>
    <t>Restricted folder Access - (confirm the folder is restricted to only authorised personnel)</t>
  </si>
  <si>
    <t>Access Rights reviewed annually - (confirm last date of folder access review)</t>
  </si>
  <si>
    <t>Issues &amp; Future Improvements</t>
  </si>
  <si>
    <t>Parameter</t>
  </si>
  <si>
    <t>This sheet is used to store parameters that are not typically updated by the user.</t>
  </si>
  <si>
    <t>Control</t>
  </si>
  <si>
    <t>All output will be at market condition date (plus stress); for valuation date output, must set MCD = VD</t>
  </si>
  <si>
    <t>REM populates the market condition date in the referenced Macalc and LTM Flash, for ease of user if no other changes to portfolio required</t>
  </si>
  <si>
    <t>User Process Step-through</t>
  </si>
  <si>
    <t>Select the life entity:</t>
  </si>
  <si>
    <t>Enter the valuation date:</t>
  </si>
  <si>
    <t>3a</t>
  </si>
  <si>
    <t xml:space="preserve">Stresses to be applied: </t>
  </si>
  <si>
    <t>These might not be required</t>
  </si>
  <si>
    <t>3b</t>
  </si>
  <si>
    <t>Interest</t>
  </si>
  <si>
    <t>3c</t>
  </si>
  <si>
    <t>Inflation</t>
  </si>
  <si>
    <t>Not intending for this to be built in this iteration</t>
  </si>
  <si>
    <t>3d</t>
  </si>
  <si>
    <t>Credit Downgrade and Default</t>
  </si>
  <si>
    <t>3e</t>
  </si>
  <si>
    <t>Credit Spread</t>
  </si>
  <si>
    <t>3f</t>
  </si>
  <si>
    <t>Property Value</t>
  </si>
  <si>
    <t>3g</t>
  </si>
  <si>
    <t>FX</t>
  </si>
  <si>
    <t>3h</t>
  </si>
  <si>
    <t>Gilt Swap Spread</t>
  </si>
  <si>
    <t>3i</t>
  </si>
  <si>
    <t>Longevity</t>
  </si>
  <si>
    <t>3j</t>
  </si>
  <si>
    <t>Withdrawal</t>
  </si>
  <si>
    <t>3k</t>
  </si>
  <si>
    <t>Expense</t>
  </si>
  <si>
    <t>4a</t>
  </si>
  <si>
    <t>Individual stress results required</t>
  </si>
  <si>
    <t>5a</t>
  </si>
  <si>
    <t>Combined stress results required:</t>
  </si>
  <si>
    <t>Required?</t>
  </si>
  <si>
    <t>MA Optimisation?</t>
  </si>
  <si>
    <t>5b</t>
  </si>
  <si>
    <t>Credit Downgrade, Default and Credit Spread</t>
  </si>
  <si>
    <t xml:space="preserve">Need to some how force code to use the allocations from this run for all subsequent runs. </t>
  </si>
  <si>
    <t>5c</t>
  </si>
  <si>
    <t>Credit Downgrade, Default, Credit Spread and Interest</t>
  </si>
  <si>
    <t>Then will need warning that all falses after a true will use allocations from last "true"</t>
  </si>
  <si>
    <t>5d</t>
  </si>
  <si>
    <t>Property and Interest</t>
  </si>
  <si>
    <t>Unless you can think of a better way to set this up?</t>
  </si>
  <si>
    <t>5e</t>
  </si>
  <si>
    <t>Credit Downgrade, Default, Credit Spread and Property</t>
  </si>
  <si>
    <t>5f</t>
  </si>
  <si>
    <t>Credit Downgrade, Default, Credit Spread, Property and Interest</t>
  </si>
  <si>
    <t>5g</t>
  </si>
  <si>
    <t>PLACEHOLDER</t>
  </si>
  <si>
    <t>5h</t>
  </si>
  <si>
    <t>5i</t>
  </si>
  <si>
    <t>All</t>
  </si>
  <si>
    <t>Update all input tabs and confirm parameters are up to date</t>
  </si>
  <si>
    <t>7a</t>
  </si>
  <si>
    <t>Enter source for bond asset data at valuation date:</t>
  </si>
  <si>
    <t>8a</t>
  </si>
  <si>
    <t xml:space="preserve">Enter source name for bonds lite: </t>
  </si>
  <si>
    <t>Will it be source or file path? Can update when we know</t>
  </si>
  <si>
    <t>9a</t>
  </si>
  <si>
    <t>Enter name of MACalc with MAP inputs per valuation date:</t>
  </si>
  <si>
    <t>9b</t>
  </si>
  <si>
    <t>Enter name of MACalc with NMAP inputs per valuation date:</t>
  </si>
  <si>
    <t>10a</t>
  </si>
  <si>
    <t>Enter name of LTMFlash set up to use rates as at valuation date:</t>
  </si>
  <si>
    <t>10b</t>
  </si>
  <si>
    <t>Enter name of LTM Note Val set up to use rates as at valuation date:</t>
  </si>
  <si>
    <t>Above are examples, this is not exhaustive.</t>
  </si>
  <si>
    <t>Each workbook specified above must be open in same instance of this model before hitting run below.</t>
  </si>
  <si>
    <t>Will this be the same for us</t>
  </si>
  <si>
    <t>7b</t>
  </si>
  <si>
    <t>Optional name to append to output subfolder to describe run:</t>
  </si>
  <si>
    <t>Output</t>
  </si>
  <si>
    <t>Click the icon to run the model.</t>
  </si>
  <si>
    <t>Update links for AoC and forecast output.</t>
  </si>
  <si>
    <t>Complete checks</t>
  </si>
  <si>
    <t>other inputs</t>
  </si>
  <si>
    <t>Tax Rates</t>
  </si>
  <si>
    <t>Date</t>
  </si>
  <si>
    <t>Tax Rate</t>
  </si>
  <si>
    <t>SII Tax Rate</t>
  </si>
  <si>
    <t>IF LACDT Rate in underlying models</t>
  </si>
  <si>
    <t>NB LACDT Rate</t>
  </si>
  <si>
    <t>SCR Coverage - Capital Tiering Rules</t>
  </si>
  <si>
    <t>RT1</t>
  </si>
  <si>
    <t>&lt;- Cant be more than 25% of Tier 1</t>
  </si>
  <si>
    <t>Tier 2 and Tier 3</t>
  </si>
  <si>
    <t>&lt;- Cant be more than 50% of SCR</t>
  </si>
  <si>
    <t>Tier 3</t>
  </si>
  <si>
    <t>&lt;- Cant be more than 15% of SCR</t>
  </si>
  <si>
    <t>MCR Coverage - Capital Tiering Rules</t>
  </si>
  <si>
    <t>Tier 2 as % of Eligible OF</t>
  </si>
  <si>
    <t>25% MCR</t>
  </si>
  <si>
    <t>45% MCR</t>
  </si>
  <si>
    <t>Scenario</t>
  </si>
  <si>
    <t>Base</t>
  </si>
  <si>
    <t>LACDT (JRL)</t>
  </si>
  <si>
    <t>LACDT (PLACL)</t>
  </si>
  <si>
    <t>LACDT (NL)</t>
  </si>
  <si>
    <t>Add Inflation Servere</t>
  </si>
  <si>
    <t>Add Inflation Moderate</t>
  </si>
  <si>
    <t>Use 160% at Group; 150% at JRL &amp; PLACL</t>
  </si>
  <si>
    <t xml:space="preserve">User defined stresses to run; rows cannot be inserted or moved. Unused stresses should just be left blank. </t>
  </si>
  <si>
    <t>User can specify PC or flat stress, but what gets read into other models are the blue cells to the right; this allows the user to specify bespoke stress. For inflation, the stress deltas are still annual because the stress functionality in Macalc only picks up every 12th month rate and so to avoid the user thinking monthly stress delta would do anything different to an annual stress</t>
  </si>
  <si>
    <t>Stress</t>
  </si>
  <si>
    <t>GBP_SWAP_FLAT</t>
  </si>
  <si>
    <t>GBP_SWAP_PC1</t>
  </si>
  <si>
    <t>GBP_SWAP_PC2</t>
  </si>
  <si>
    <t>GBP_SWAP_PC3</t>
  </si>
  <si>
    <t>GBP_RPI_FLAT</t>
  </si>
  <si>
    <t>GBP_RPI_PC1</t>
  </si>
  <si>
    <t>GBP_RPI_PC2</t>
  </si>
  <si>
    <t>GBP_RPI_PC3</t>
  </si>
  <si>
    <t>RUK</t>
  </si>
  <si>
    <t>LSE</t>
  </si>
  <si>
    <t>GBP:USD</t>
  </si>
  <si>
    <t>GBP:EUR</t>
  </si>
  <si>
    <t>Placeholder 1</t>
  </si>
  <si>
    <t>Placeholder 2</t>
  </si>
  <si>
    <t>Placeholder 3</t>
  </si>
  <si>
    <t>Placeholder 4</t>
  </si>
  <si>
    <t>Placeholder 5</t>
  </si>
  <si>
    <t>Placeholder 6</t>
  </si>
  <si>
    <t>Placeholder 7</t>
  </si>
  <si>
    <t>Placeholder 8</t>
  </si>
  <si>
    <t>Placeholder 9</t>
  </si>
  <si>
    <t>Placeholder 10</t>
  </si>
  <si>
    <t>On GSS, consider if input is here or on Credit stress tab</t>
  </si>
  <si>
    <t>I.Credit and Gilt Stresses</t>
  </si>
  <si>
    <t>This sheet contains tables that define the spreads and the transition probabilities between credit ratings.</t>
  </si>
  <si>
    <t>Data Section 1: Transition sensitivity inputs</t>
  </si>
  <si>
    <t>Data Section 2: Spread sensitivity inputs (transitioned ratings)</t>
  </si>
  <si>
    <t>Data Section 3: Spread sensitivity inputs (Original rating)</t>
  </si>
  <si>
    <t>GBP FINANCIAL TRANSITION MATRIX</t>
  </si>
  <si>
    <t>GBP FINANCIAL SPREADS</t>
  </si>
  <si>
    <t>Rating</t>
  </si>
  <si>
    <t>GOV</t>
  </si>
  <si>
    <t>AAA</t>
  </si>
  <si>
    <t>AA</t>
  </si>
  <si>
    <t>A</t>
  </si>
  <si>
    <t>BBB</t>
  </si>
  <si>
    <t>BB</t>
  </si>
  <si>
    <t>B</t>
  </si>
  <si>
    <t>GBP NONFINANCIAL TRANSITION MATRIX</t>
  </si>
  <si>
    <t>GBP NONFINANCIAL SPREADS</t>
  </si>
  <si>
    <t>USD FINANCIAL TRANSITION MATRIX</t>
  </si>
  <si>
    <t>USD FINANCIAL SPREADS</t>
  </si>
  <si>
    <t>USD NONFINANCIAL TRANSITION MATRIX</t>
  </si>
  <si>
    <t>USD NONFINANCIAL SPREADS</t>
  </si>
  <si>
    <t>I. Balance Sheet</t>
  </si>
  <si>
    <t>This sheet is for balance sheet inputs as at the valuation date used both for reconciliation and to complete the output balance sheet</t>
  </si>
  <si>
    <t>HIGH LEVEL CAPITAL PROJECTION</t>
  </si>
  <si>
    <t>OWN FUNDS</t>
  </si>
  <si>
    <t>SCR</t>
  </si>
  <si>
    <t>EXCESS OWN FUNDS</t>
  </si>
  <si>
    <t>CAPITAL COVERAGE RATIO</t>
  </si>
  <si>
    <t>PRE CAPITAL RESTRICTIONS &amp; PRE LACDT SCR</t>
  </si>
  <si>
    <t>TIERING OF CAPITAL</t>
  </si>
  <si>
    <t>Tier 1 (incl RT1)</t>
  </si>
  <si>
    <t>Tier 2</t>
  </si>
  <si>
    <t>Tier 3 - DTA</t>
  </si>
  <si>
    <t>Tier 3 - Other</t>
  </si>
  <si>
    <t>RESTRICTED CAPITAL</t>
  </si>
  <si>
    <t>Tier 2 + Tier 3</t>
  </si>
  <si>
    <t>Ineligible capital</t>
  </si>
  <si>
    <t>DEFERRED TAX CALCULATIONS - Positive = asset, negative = liability</t>
  </si>
  <si>
    <t xml:space="preserve"> - IFRS deferred</t>
  </si>
  <si>
    <t xml:space="preserve"> - SII deferred</t>
  </si>
  <si>
    <t>Net SII position</t>
  </si>
  <si>
    <t>I. Own Funds Deltas</t>
  </si>
  <si>
    <t>ASSETS</t>
  </si>
  <si>
    <t>GILTS</t>
  </si>
  <si>
    <t>CORPORATES</t>
  </si>
  <si>
    <t>FUND X ASSETS</t>
  </si>
  <si>
    <t>TRS - GILTS</t>
  </si>
  <si>
    <t>SWAPS</t>
  </si>
  <si>
    <t>SWAPS - INFLATION</t>
  </si>
  <si>
    <t>REPO</t>
  </si>
  <si>
    <t>TRS - REPO</t>
  </si>
  <si>
    <t>MORTGAGES</t>
  </si>
  <si>
    <t>NNEG DERIVATIVES</t>
  </si>
  <si>
    <t>ERC ADJUSTMENT</t>
  </si>
  <si>
    <t>LIABILITIES</t>
  </si>
  <si>
    <t>SPA</t>
  </si>
  <si>
    <t>DB</t>
  </si>
  <si>
    <t>CARE</t>
  </si>
  <si>
    <t>OTHER LIABILITIES</t>
  </si>
  <si>
    <t>MATCHING ADJUSTMENT</t>
  </si>
  <si>
    <t>LTM MA</t>
  </si>
  <si>
    <t>BONDS MA</t>
  </si>
  <si>
    <t>TOTAL</t>
  </si>
  <si>
    <t>Bonds Lite data template.xlsx</t>
  </si>
  <si>
    <t>Bonds Lite input template.xlsx</t>
  </si>
  <si>
    <t>Stage 1 - Generate Bonds Lite Input</t>
  </si>
  <si>
    <t>Last Run</t>
  </si>
  <si>
    <t>Start:</t>
  </si>
  <si>
    <t>Finish:</t>
  </si>
  <si>
    <t>Time</t>
  </si>
  <si>
    <t>User</t>
  </si>
  <si>
    <t>Status</t>
  </si>
  <si>
    <t>Last Successful Output</t>
  </si>
  <si>
    <t>Stage 2 Input</t>
  </si>
  <si>
    <t>Joao Branco</t>
  </si>
  <si>
    <t>JRL</t>
  </si>
  <si>
    <t>Enter source for MAP bonds asset data at valuation date:</t>
  </si>
  <si>
    <t>Bonds Lite data template_MAP.xlsx</t>
  </si>
  <si>
    <t>Stage 2 - Run Bonds Lite</t>
  </si>
  <si>
    <t>Input Run</t>
  </si>
  <si>
    <t>Last Successful Results</t>
  </si>
  <si>
    <t>Succeeded</t>
  </si>
  <si>
    <t>Bonds Lite output/20261028_181415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</si>
</sst>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9">
    <numFmt numFmtId="43" formatCode="_-* #,##0.00_-;\-* #,##0.00_-;_-* &quot;-&quot;??_-;_-@_-"/>
    <numFmt numFmtId="164" formatCode="_(* #,##0.00_);_(* \(#,##0.00\);_(* &quot;-&quot;??_);_(@_)"/>
    <numFmt numFmtId="165" formatCode="_(* #,##0_);_(* \(#,##0\);_(* &quot;-&quot;??_);_(@_)"/>
    <numFmt numFmtId="166" formatCode="0.000%"/>
    <numFmt numFmtId="167" formatCode="_(* #,##0.000000_);_(* \(#,##0.000000\);_(* &quot;-&quot;??_);_(@_)"/>
    <numFmt numFmtId="168" formatCode="mmm\ yy"/>
    <numFmt numFmtId="169" formatCode="#,##0;\(#,##0\)"/>
    <numFmt numFmtId="170" formatCode="#,##0;\(#,##0\);\-"/>
    <numFmt numFmtId="171" formatCode="_-* #,##0_-;\-* #,##0_-;_-* &quot;-&quot;??_-;_-@_-"/>
  </numFmts>
  <fonts count="25" x14ac:knownFonts="1">
    <font>
      <sz val="11"/>
      <color theme="1"/>
      <name val="Just Sans"/>
      <family val="2"/>
      <scheme val="minor"/>
    </font>
    <font>
      <sz val="11"/>
      <color theme="1"/>
      <name val="Just Sans"/>
      <family val="2"/>
      <scheme val="minor"/>
    </font>
    <font>
      <sz val="14"/>
      <color theme="0"/>
      <name val="Just Script"/>
      <family val="1"/>
    </font>
    <font>
      <sz val="9"/>
      <color theme="1"/>
      <name val="Just Sans"/>
      <family val="2"/>
    </font>
    <font>
      <b/>
      <sz val="9"/>
      <color theme="0"/>
      <name val="Just Sans"/>
      <family val="2"/>
    </font>
    <font>
      <b/>
      <sz val="9"/>
      <color theme="3"/>
      <name val="Just Sans"/>
      <family val="2"/>
    </font>
    <font>
      <b/>
      <sz val="9"/>
      <name val="Just Sans"/>
      <family val="2"/>
    </font>
    <font>
      <i/>
      <sz val="9"/>
      <color rgb="FF7F7F7F"/>
      <name val="Just Sans"/>
      <family val="2"/>
    </font>
    <font>
      <sz val="9"/>
      <name val="Just Sans"/>
      <family val="2"/>
    </font>
    <font>
      <b/>
      <sz val="9"/>
      <color theme="1"/>
      <name val="Just Sans"/>
      <family val="2"/>
    </font>
    <font>
      <sz val="9"/>
      <color rgb="FF3F3F3F"/>
      <name val="Just Sans"/>
      <family val="2"/>
    </font>
    <font>
      <sz val="9"/>
      <color rgb="FF006100"/>
      <name val="Just Sans"/>
      <family val="2"/>
    </font>
    <font>
      <sz val="9"/>
      <color rgb="FF9C0006"/>
      <name val="Just Sans"/>
      <family val="2"/>
    </font>
    <font>
      <u/>
      <sz val="9"/>
      <color theme="10"/>
      <name val="Just Sans"/>
      <family val="2"/>
    </font>
    <font>
      <sz val="9"/>
      <color theme="1"/>
      <name val="Just Sans"/>
      <family val="2"/>
      <scheme val="minor"/>
    </font>
    <font>
      <i/>
      <sz val="9"/>
      <color theme="1"/>
      <name val="Just Sans"/>
      <family val="2"/>
      <scheme val="minor"/>
    </font>
    <font>
      <sz val="8"/>
      <name val="Just Sans"/>
      <family val="2"/>
      <scheme val="minor"/>
    </font>
    <font>
      <b/>
      <sz val="9"/>
      <color theme="1"/>
      <name val="Just Sans"/>
      <family val="2"/>
      <scheme val="minor"/>
    </font>
    <font>
      <sz val="8"/>
      <color theme="1"/>
      <name val="Just Sans"/>
      <family val="2"/>
    </font>
    <font>
      <b/>
      <sz val="8"/>
      <color theme="1"/>
      <name val="Just Sans"/>
      <family val="2"/>
    </font>
    <font>
      <sz val="9"/>
      <color theme="0"/>
      <name val="Just Script"/>
      <family val="1"/>
    </font>
    <font>
      <sz val="10"/>
      <color rgb="FFFFFFFF"/>
      <name val="Calibri"/>
      <family val="2"/>
    </font>
    <font>
      <b/>
      <sz val="10"/>
      <color rgb="FFFFFFFF"/>
      <name val="Calibri"/>
      <family val="2"/>
    </font>
    <font>
      <sz val="10"/>
      <color rgb="FF000000"/>
      <name val="Calibri"/>
      <family val="2"/>
    </font>
    <font>
      <sz val="11"/>
      <color rgb="FF373433"/>
      <name val="Just Sans"/>
      <family val="2"/>
    </font>
  </fonts>
  <fills count="21">
    <fill>
      <patternFill patternType="none"/>
    </fill>
    <fill>
      <patternFill patternType="gray125"/>
    </fill>
    <fill>
      <patternFill patternType="solid">
        <fgColor rgb="FFC6EFCE"/>
      </patternFill>
    </fill>
    <fill>
      <patternFill patternType="solid">
        <fgColor rgb="FFFFC7CE"/>
      </patternFill>
    </fill>
    <fill>
      <patternFill patternType="solid">
        <fgColor theme="4"/>
        <bgColor indexed="64"/>
      </patternFill>
    </fill>
    <fill>
      <patternFill patternType="solid">
        <fgColor theme="8" tint="0.39994506668294322"/>
        <bgColor theme="4" tint="0.39988402966399123"/>
      </patternFill>
    </fill>
    <fill>
      <patternFill patternType="solid">
        <fgColor theme="7" tint="0.39997558519241921"/>
        <bgColor indexed="64"/>
      </patternFill>
    </fill>
    <fill>
      <patternFill patternType="solid">
        <fgColor theme="7" tint="0.39994506668294322"/>
        <bgColor indexed="64"/>
      </patternFill>
    </fill>
    <fill>
      <patternFill patternType="solid">
        <fgColor theme="8" tint="0.79998168889431442"/>
        <bgColor indexed="64"/>
      </patternFill>
    </fill>
    <fill>
      <patternFill patternType="solid">
        <fgColor theme="4" tint="0.59996337778862885"/>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theme="9" tint="0.39994506668294322"/>
        <bgColor theme="7" tint="0.39991454817346722"/>
      </patternFill>
    </fill>
    <fill>
      <patternFill patternType="solid">
        <fgColor rgb="FFFFFF00"/>
        <bgColor indexed="64"/>
      </patternFill>
    </fill>
    <fill>
      <patternFill patternType="solid">
        <fgColor theme="8" tint="0.39997558519241921"/>
        <bgColor indexed="64"/>
      </patternFill>
    </fill>
    <fill>
      <patternFill patternType="solid">
        <fgColor theme="4"/>
        <bgColor theme="4"/>
      </patternFill>
    </fill>
    <fill>
      <patternFill patternType="solid">
        <fgColor theme="0"/>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rgb="FFFFE6E6"/>
        <bgColor indexed="64"/>
      </patternFill>
    </fill>
    <fill>
      <patternFill patternType="solid">
        <fgColor rgb="FFFF7F7F"/>
        <bgColor indexed="64"/>
      </patternFill>
    </fill>
  </fills>
  <borders count="22">
    <border>
      <left/>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thin">
        <color indexed="64"/>
      </bottom>
      <diagonal/>
    </border>
    <border>
      <left style="thin">
        <color theme="4"/>
      </left>
      <right style="thin">
        <color theme="4"/>
      </right>
      <top style="thin">
        <color theme="4"/>
      </top>
      <bottom style="thin">
        <color theme="4"/>
      </bottom>
      <diagonal/>
    </border>
    <border>
      <left style="thin">
        <color theme="4"/>
      </left>
      <right/>
      <top style="thin">
        <color theme="4"/>
      </top>
      <bottom style="thin">
        <color theme="4"/>
      </bottom>
      <diagonal/>
    </border>
    <border>
      <left/>
      <right style="thin">
        <color theme="4"/>
      </right>
      <top style="thin">
        <color theme="4"/>
      </top>
      <bottom style="thin">
        <color theme="4"/>
      </bottom>
      <diagonal/>
    </border>
    <border>
      <left style="thin">
        <color theme="4"/>
      </left>
      <right style="thin">
        <color theme="4"/>
      </right>
      <top style="thin">
        <color theme="4"/>
      </top>
      <bottom/>
      <diagonal/>
    </border>
    <border>
      <left style="thin">
        <color theme="4"/>
      </left>
      <right style="thin">
        <color theme="4"/>
      </right>
      <top/>
      <bottom style="thin">
        <color theme="4"/>
      </bottom>
      <diagonal/>
    </border>
    <border>
      <left style="thin">
        <color theme="4"/>
      </left>
      <right style="thin">
        <color theme="4"/>
      </right>
      <top/>
      <bottom/>
      <diagonal/>
    </border>
    <border>
      <left/>
      <right/>
      <top/>
      <bottom style="thin">
        <color theme="4"/>
      </bottom>
      <diagonal/>
    </border>
    <border>
      <left style="thin">
        <color theme="4"/>
      </left>
      <right/>
      <top style="thin">
        <color theme="4"/>
      </top>
      <bottom/>
      <diagonal/>
    </border>
    <border>
      <left/>
      <right/>
      <top style="thin">
        <color theme="4"/>
      </top>
      <bottom/>
      <diagonal/>
    </border>
    <border>
      <left/>
      <right style="thin">
        <color theme="4"/>
      </right>
      <top style="thin">
        <color theme="4"/>
      </top>
      <bottom/>
      <diagonal/>
    </border>
    <border>
      <left style="thin">
        <color theme="4"/>
      </left>
      <right/>
      <top/>
      <bottom/>
      <diagonal/>
    </border>
    <border>
      <left/>
      <right style="thin">
        <color theme="4"/>
      </right>
      <top/>
      <bottom/>
      <diagonal/>
    </border>
    <border>
      <left style="thin">
        <color theme="4"/>
      </left>
      <right/>
      <top/>
      <bottom style="thin">
        <color theme="4"/>
      </bottom>
      <diagonal/>
    </border>
    <border>
      <left/>
      <right style="thin">
        <color theme="4"/>
      </right>
      <top/>
      <bottom style="thin">
        <color theme="4"/>
      </bottom>
      <diagonal/>
    </border>
    <border>
      <left/>
      <right style="thin">
        <color theme="2"/>
      </right>
      <top/>
      <bottom/>
      <diagonal/>
    </border>
    <border>
      <left style="thin">
        <color theme="2"/>
      </left>
      <right style="thin">
        <color theme="2"/>
      </right>
      <top/>
      <bottom/>
      <diagonal/>
    </border>
    <border>
      <left style="thin">
        <color theme="2"/>
      </left>
      <right/>
      <top/>
      <bottom/>
      <diagonal/>
    </border>
    <border>
      <left/>
      <right/>
      <top/>
      <bottom style="thin">
        <color theme="1"/>
      </bottom>
      <diagonal/>
    </border>
  </borders>
  <cellStyleXfs count="21">
    <xf numFmtId="0" fontId="0" fillId="0" borderId="0"/>
    <xf numFmtId="43" fontId="1" fillId="0" borderId="0" applyFont="0" applyFill="0" applyBorder="0" applyAlignment="0" applyProtection="0"/>
    <xf numFmtId="9" fontId="1" fillId="0" borderId="0" applyFont="0" applyFill="0" applyBorder="0" applyAlignment="0" applyProtection="0"/>
    <xf numFmtId="0" fontId="2" fillId="4" borderId="0" applyNumberFormat="0" applyBorder="0" applyProtection="0">
      <alignment vertical="center"/>
    </xf>
    <xf numFmtId="0" fontId="3" fillId="0" borderId="0" applyNumberFormat="0"/>
    <xf numFmtId="0" fontId="4" fillId="4" borderId="0" applyNumberFormat="0" applyBorder="0" applyAlignment="0" applyProtection="0">
      <alignment vertical="center"/>
    </xf>
    <xf numFmtId="0" fontId="5" fillId="0" borderId="0" applyNumberFormat="0" applyFill="0" applyBorder="0" applyAlignment="0" applyProtection="0"/>
    <xf numFmtId="0" fontId="6" fillId="0" borderId="3" applyNumberFormat="0" applyFill="0" applyProtection="0">
      <alignment vertical="center"/>
    </xf>
    <xf numFmtId="0" fontId="7" fillId="0" borderId="0" applyNumberFormat="0" applyFill="0" applyBorder="0" applyAlignment="0" applyProtection="0"/>
    <xf numFmtId="0" fontId="8" fillId="5" borderId="1" applyNumberFormat="0" applyFont="0" applyBorder="0" applyAlignment="0" applyProtection="0"/>
    <xf numFmtId="4" fontId="8" fillId="7" borderId="0" applyNumberFormat="0" applyFont="0" applyBorder="0" applyAlignment="0"/>
    <xf numFmtId="4" fontId="8" fillId="8" borderId="0" applyNumberFormat="0" applyFont="0" applyBorder="0" applyAlignment="0"/>
    <xf numFmtId="4" fontId="8" fillId="9" borderId="0" applyNumberFormat="0" applyFont="0" applyBorder="0" applyAlignment="0"/>
    <xf numFmtId="4" fontId="8" fillId="10" borderId="0" applyNumberFormat="0" applyFont="0" applyBorder="0" applyAlignment="0"/>
    <xf numFmtId="4" fontId="8" fillId="11" borderId="0" applyNumberFormat="0" applyFont="0" applyBorder="0" applyAlignment="0"/>
    <xf numFmtId="0" fontId="8" fillId="0" borderId="0" applyNumberFormat="0" applyFont="0" applyBorder="0" applyAlignment="0" applyProtection="0"/>
    <xf numFmtId="0" fontId="10" fillId="12" borderId="2" applyNumberFormat="0" applyFont="0" applyBorder="0" applyAlignment="0" applyProtection="0"/>
    <xf numFmtId="0" fontId="11" fillId="2" borderId="0" applyNumberFormat="0" applyBorder="0" applyAlignment="0" applyProtection="0"/>
    <xf numFmtId="0" fontId="12" fillId="3" borderId="0" applyNumberFormat="0" applyBorder="0" applyAlignment="0" applyProtection="0"/>
    <xf numFmtId="0" fontId="13" fillId="0" borderId="0" applyNumberFormat="0" applyFill="0" applyBorder="0" applyAlignment="0" applyProtection="0"/>
    <xf numFmtId="164" fontId="3" fillId="0" borderId="0" applyFill="0" applyBorder="0" applyAlignment="0" applyProtection="0"/>
  </cellStyleXfs>
  <cellXfs count="174">
    <xf numFmtId="0" fontId="0" fillId="0" borderId="0" xfId="0"/>
    <xf numFmtId="0" fontId="2" fillId="4" borderId="0" xfId="3">
      <alignment vertical="center"/>
    </xf>
    <xf numFmtId="0" fontId="3" fillId="0" borderId="0" xfId="4"/>
    <xf numFmtId="0" fontId="4" fillId="4" borderId="0" xfId="5" applyAlignment="1"/>
    <xf numFmtId="0" fontId="5" fillId="0" borderId="0" xfId="6" quotePrefix="1"/>
    <xf numFmtId="0" fontId="3" fillId="0" borderId="0" xfId="4" quotePrefix="1"/>
    <xf numFmtId="0" fontId="6" fillId="0" borderId="3" xfId="7">
      <alignment vertical="center"/>
    </xf>
    <xf numFmtId="0" fontId="7" fillId="0" borderId="0" xfId="8" quotePrefix="1"/>
    <xf numFmtId="2" fontId="3" fillId="0" borderId="0" xfId="4" quotePrefix="1" applyNumberFormat="1"/>
    <xf numFmtId="14" fontId="3" fillId="0" borderId="0" xfId="4" quotePrefix="1" applyNumberFormat="1"/>
    <xf numFmtId="0" fontId="4" fillId="4" borderId="0" xfId="5">
      <alignment vertical="center"/>
    </xf>
    <xf numFmtId="0" fontId="3" fillId="0" borderId="4" xfId="4" applyBorder="1"/>
    <xf numFmtId="0" fontId="3" fillId="0" borderId="4" xfId="4" quotePrefix="1" applyBorder="1"/>
    <xf numFmtId="0" fontId="7" fillId="0" borderId="4" xfId="8" quotePrefix="1" applyBorder="1"/>
    <xf numFmtId="0" fontId="0" fillId="5" borderId="5" xfId="9" applyFont="1" applyBorder="1"/>
    <xf numFmtId="0" fontId="0" fillId="5" borderId="6" xfId="9" applyFont="1" applyBorder="1"/>
    <xf numFmtId="2" fontId="3" fillId="0" borderId="0" xfId="4" applyNumberFormat="1"/>
    <xf numFmtId="14" fontId="3" fillId="0" borderId="0" xfId="4" applyNumberFormat="1"/>
    <xf numFmtId="0" fontId="5" fillId="6" borderId="4" xfId="6" applyNumberFormat="1" applyFill="1" applyBorder="1" applyAlignment="1">
      <alignment vertical="top"/>
    </xf>
    <xf numFmtId="0" fontId="3" fillId="0" borderId="6" xfId="4" applyBorder="1"/>
    <xf numFmtId="4" fontId="8" fillId="7" borderId="5" xfId="10" applyNumberFormat="1" applyBorder="1"/>
    <xf numFmtId="4" fontId="8" fillId="7" borderId="6" xfId="10" applyNumberFormat="1" applyBorder="1"/>
    <xf numFmtId="0" fontId="9" fillId="5" borderId="4" xfId="9" applyFont="1" applyBorder="1" applyAlignment="1">
      <alignment vertical="top"/>
    </xf>
    <xf numFmtId="0" fontId="0" fillId="8" borderId="5" xfId="11" applyNumberFormat="1" applyFont="1" applyBorder="1"/>
    <xf numFmtId="0" fontId="0" fillId="8" borderId="6" xfId="11" applyNumberFormat="1" applyFont="1" applyBorder="1"/>
    <xf numFmtId="0" fontId="8" fillId="9" borderId="5" xfId="12" applyNumberFormat="1" applyBorder="1"/>
    <xf numFmtId="0" fontId="8" fillId="9" borderId="6" xfId="12" applyNumberFormat="1" applyBorder="1"/>
    <xf numFmtId="0" fontId="0" fillId="10" borderId="5" xfId="13" applyNumberFormat="1" applyFont="1" applyBorder="1"/>
    <xf numFmtId="0" fontId="0" fillId="10" borderId="6" xfId="13" applyNumberFormat="1" applyFont="1" applyBorder="1"/>
    <xf numFmtId="0" fontId="8" fillId="11" borderId="5" xfId="14" applyNumberFormat="1" applyBorder="1"/>
    <xf numFmtId="0" fontId="8" fillId="11" borderId="6" xfId="14" applyNumberFormat="1" applyBorder="1"/>
    <xf numFmtId="0" fontId="0" fillId="0" borderId="5" xfId="15" applyFont="1" applyBorder="1"/>
    <xf numFmtId="0" fontId="0" fillId="0" borderId="6" xfId="15" applyFont="1" applyBorder="1"/>
    <xf numFmtId="0" fontId="0" fillId="12" borderId="5" xfId="16" applyFont="1" applyBorder="1"/>
    <xf numFmtId="0" fontId="0" fillId="12" borderId="6" xfId="16" applyFont="1" applyBorder="1"/>
    <xf numFmtId="0" fontId="11" fillId="2" borderId="5" xfId="17" applyBorder="1"/>
    <xf numFmtId="0" fontId="12" fillId="3" borderId="6" xfId="18" applyBorder="1"/>
    <xf numFmtId="0" fontId="9" fillId="0" borderId="4" xfId="11" applyNumberFormat="1" applyFont="1" applyFill="1" applyBorder="1" applyAlignment="1">
      <alignment vertical="top"/>
    </xf>
    <xf numFmtId="0" fontId="3" fillId="0" borderId="5" xfId="4" applyBorder="1"/>
    <xf numFmtId="0" fontId="9" fillId="0" borderId="4" xfId="4" applyFont="1" applyBorder="1" applyAlignment="1">
      <alignment vertical="top"/>
    </xf>
    <xf numFmtId="0" fontId="9" fillId="12" borderId="4" xfId="16" applyFont="1" applyBorder="1" applyAlignment="1">
      <alignment vertical="top"/>
    </xf>
    <xf numFmtId="0" fontId="3" fillId="0" borderId="7" xfId="4" applyBorder="1"/>
    <xf numFmtId="0" fontId="3" fillId="0" borderId="7" xfId="4" quotePrefix="1" applyBorder="1"/>
    <xf numFmtId="0" fontId="7" fillId="0" borderId="7" xfId="8" quotePrefix="1" applyBorder="1" applyAlignment="1">
      <alignment wrapText="1"/>
    </xf>
    <xf numFmtId="0" fontId="3" fillId="0" borderId="8" xfId="4" applyBorder="1"/>
    <xf numFmtId="0" fontId="3" fillId="0" borderId="8" xfId="4" quotePrefix="1" applyBorder="1"/>
    <xf numFmtId="0" fontId="7" fillId="0" borderId="8" xfId="8" quotePrefix="1" applyBorder="1" applyAlignment="1">
      <alignment wrapText="1"/>
    </xf>
    <xf numFmtId="0" fontId="7" fillId="0" borderId="8" xfId="8" quotePrefix="1" applyBorder="1"/>
    <xf numFmtId="0" fontId="7" fillId="0" borderId="7" xfId="8" quotePrefix="1" applyBorder="1" applyAlignment="1"/>
    <xf numFmtId="0" fontId="3" fillId="0" borderId="9" xfId="4" applyBorder="1"/>
    <xf numFmtId="0" fontId="3" fillId="0" borderId="9" xfId="4" quotePrefix="1" applyBorder="1"/>
    <xf numFmtId="0" fontId="7" fillId="0" borderId="9" xfId="8" quotePrefix="1" applyBorder="1" applyAlignment="1">
      <alignment horizontal="left" indent="2"/>
    </xf>
    <xf numFmtId="0" fontId="3" fillId="0" borderId="0" xfId="4" quotePrefix="1" applyNumberFormat="1" applyAlignment="1">
      <alignment horizontal="center"/>
    </xf>
    <xf numFmtId="0" fontId="3" fillId="0" borderId="0" xfId="4" applyNumberFormat="1" applyAlignment="1">
      <alignment horizontal="center"/>
    </xf>
    <xf numFmtId="0" fontId="7" fillId="0" borderId="9" xfId="8" quotePrefix="1" applyBorder="1" applyAlignment="1">
      <alignment horizontal="left" wrapText="1" indent="2"/>
    </xf>
    <xf numFmtId="0" fontId="6" fillId="0" borderId="3" xfId="7" quotePrefix="1">
      <alignment vertical="center"/>
    </xf>
    <xf numFmtId="0" fontId="3" fillId="13" borderId="6" xfId="4" applyFill="1" applyBorder="1"/>
    <xf numFmtId="0" fontId="3" fillId="13" borderId="0" xfId="4" quotePrefix="1" applyFill="1"/>
    <xf numFmtId="0" fontId="7" fillId="0" borderId="0" xfId="8"/>
    <xf numFmtId="3" fontId="6" fillId="0" borderId="3" xfId="7" applyNumberFormat="1">
      <alignment vertical="center"/>
    </xf>
    <xf numFmtId="0" fontId="14" fillId="13" borderId="0" xfId="0" applyFont="1" applyFill="1"/>
    <xf numFmtId="0" fontId="14" fillId="0" borderId="0" xfId="0" applyFont="1"/>
    <xf numFmtId="14" fontId="14" fillId="0" borderId="0" xfId="0" applyNumberFormat="1" applyFont="1"/>
    <xf numFmtId="3" fontId="14" fillId="0" borderId="0" xfId="0" applyNumberFormat="1" applyFont="1"/>
    <xf numFmtId="14" fontId="6" fillId="0" borderId="3" xfId="7" applyNumberFormat="1">
      <alignment vertical="center"/>
    </xf>
    <xf numFmtId="0" fontId="4" fillId="4" borderId="11" xfId="5" applyBorder="1" applyAlignment="1"/>
    <xf numFmtId="0" fontId="14" fillId="0" borderId="12" xfId="0" applyFont="1" applyBorder="1"/>
    <xf numFmtId="3" fontId="14" fillId="0" borderId="13" xfId="0" applyNumberFormat="1" applyFont="1" applyBorder="1"/>
    <xf numFmtId="0" fontId="4" fillId="4" borderId="14" xfId="5" applyBorder="1" applyAlignment="1"/>
    <xf numFmtId="3" fontId="14" fillId="0" borderId="15" xfId="0" applyNumberFormat="1" applyFont="1" applyBorder="1"/>
    <xf numFmtId="0" fontId="4" fillId="4" borderId="14" xfId="5" applyBorder="1" applyAlignment="1">
      <alignment horizontal="right"/>
    </xf>
    <xf numFmtId="3" fontId="14" fillId="14" borderId="0" xfId="0" applyNumberFormat="1" applyFont="1" applyFill="1"/>
    <xf numFmtId="3" fontId="15" fillId="0" borderId="15" xfId="0" applyNumberFormat="1" applyFont="1" applyBorder="1"/>
    <xf numFmtId="14" fontId="14" fillId="0" borderId="0" xfId="0" applyNumberFormat="1" applyFont="1" applyAlignment="1">
      <alignment horizontal="right"/>
    </xf>
    <xf numFmtId="14" fontId="14" fillId="0" borderId="0" xfId="0" applyNumberFormat="1" applyFont="1" applyAlignment="1">
      <alignment horizontal="left"/>
    </xf>
    <xf numFmtId="3" fontId="13" fillId="14" borderId="0" xfId="19" applyNumberFormat="1" applyFill="1" applyAlignment="1">
      <alignment horizontal="fill"/>
    </xf>
    <xf numFmtId="3" fontId="15" fillId="13" borderId="15" xfId="0" applyNumberFormat="1" applyFont="1" applyFill="1" applyBorder="1"/>
    <xf numFmtId="3" fontId="14" fillId="13" borderId="0" xfId="0" applyNumberFormat="1" applyFont="1" applyFill="1"/>
    <xf numFmtId="0" fontId="4" fillId="4" borderId="16" xfId="5" applyBorder="1" applyAlignment="1"/>
    <xf numFmtId="14" fontId="14" fillId="0" borderId="10" xfId="0" applyNumberFormat="1" applyFont="1" applyBorder="1"/>
    <xf numFmtId="3" fontId="14" fillId="0" borderId="10" xfId="0" applyNumberFormat="1" applyFont="1" applyBorder="1"/>
    <xf numFmtId="3" fontId="14" fillId="0" borderId="17" xfId="0" applyNumberFormat="1" applyFont="1" applyBorder="1"/>
    <xf numFmtId="0" fontId="14" fillId="0" borderId="18" xfId="0" applyFont="1" applyBorder="1"/>
    <xf numFmtId="0" fontId="14" fillId="0" borderId="20" xfId="0" applyFont="1" applyBorder="1" applyAlignment="1">
      <alignment horizontal="center"/>
    </xf>
    <xf numFmtId="0" fontId="14" fillId="0" borderId="18" xfId="0" applyFont="1" applyBorder="1" applyAlignment="1">
      <alignment horizontal="center"/>
    </xf>
    <xf numFmtId="0" fontId="14" fillId="0" borderId="20" xfId="0" applyFont="1" applyBorder="1"/>
    <xf numFmtId="0" fontId="14" fillId="0" borderId="20" xfId="0" applyFont="1" applyBorder="1" applyAlignment="1">
      <alignment horizontal="right"/>
    </xf>
    <xf numFmtId="0" fontId="14" fillId="0" borderId="0" xfId="0" applyFont="1" applyAlignment="1">
      <alignment horizontal="right"/>
    </xf>
    <xf numFmtId="0" fontId="14" fillId="0" borderId="18" xfId="0" applyFont="1" applyBorder="1" applyAlignment="1">
      <alignment horizontal="right"/>
    </xf>
    <xf numFmtId="0" fontId="14" fillId="0" borderId="18" xfId="0" applyFont="1" applyBorder="1" applyAlignment="1">
      <alignment horizontal="center" vertical="center"/>
    </xf>
    <xf numFmtId="0" fontId="14" fillId="0" borderId="20" xfId="0" applyFont="1" applyBorder="1" applyAlignment="1">
      <alignment horizontal="center" vertical="center"/>
    </xf>
    <xf numFmtId="166" fontId="14" fillId="11" borderId="20" xfId="2" applyNumberFormat="1" applyFont="1" applyFill="1" applyBorder="1"/>
    <xf numFmtId="166" fontId="14" fillId="11" borderId="0" xfId="2" applyNumberFormat="1" applyFont="1" applyFill="1" applyBorder="1"/>
    <xf numFmtId="166" fontId="14" fillId="11" borderId="18" xfId="2" applyNumberFormat="1" applyFont="1" applyFill="1" applyBorder="1"/>
    <xf numFmtId="0" fontId="14" fillId="11" borderId="20" xfId="0" applyFont="1" applyFill="1" applyBorder="1"/>
    <xf numFmtId="0" fontId="14" fillId="11" borderId="0" xfId="0" applyFont="1" applyFill="1"/>
    <xf numFmtId="0" fontId="14" fillId="11" borderId="18" xfId="0" applyFont="1" applyFill="1" applyBorder="1"/>
    <xf numFmtId="0" fontId="14" fillId="14" borderId="20" xfId="0" applyFont="1" applyFill="1" applyBorder="1"/>
    <xf numFmtId="0" fontId="14" fillId="14" borderId="0" xfId="0" applyFont="1" applyFill="1"/>
    <xf numFmtId="0" fontId="14" fillId="14" borderId="18" xfId="0" applyFont="1" applyFill="1" applyBorder="1"/>
    <xf numFmtId="166" fontId="14" fillId="14" borderId="20" xfId="2" applyNumberFormat="1" applyFont="1" applyFill="1" applyBorder="1"/>
    <xf numFmtId="166" fontId="14" fillId="14" borderId="0" xfId="2" applyNumberFormat="1" applyFont="1" applyFill="1" applyBorder="1"/>
    <xf numFmtId="166" fontId="14" fillId="14" borderId="18" xfId="2" applyNumberFormat="1" applyFont="1" applyFill="1" applyBorder="1"/>
    <xf numFmtId="0" fontId="14" fillId="14" borderId="19" xfId="0" applyFont="1" applyFill="1" applyBorder="1"/>
    <xf numFmtId="14" fontId="17" fillId="0" borderId="0" xfId="0" applyNumberFormat="1" applyFont="1" applyAlignment="1">
      <alignment horizontal="center"/>
    </xf>
    <xf numFmtId="14" fontId="17" fillId="0" borderId="0" xfId="0" applyNumberFormat="1" applyFont="1" applyAlignment="1">
      <alignment horizontal="center" vertical="center"/>
    </xf>
    <xf numFmtId="3" fontId="14" fillId="13" borderId="15" xfId="0" applyNumberFormat="1" applyFont="1" applyFill="1" applyBorder="1"/>
    <xf numFmtId="0" fontId="14" fillId="11" borderId="19" xfId="0" applyFont="1" applyFill="1" applyBorder="1"/>
    <xf numFmtId="0" fontId="7" fillId="0" borderId="0" xfId="8" applyFill="1"/>
    <xf numFmtId="0" fontId="14" fillId="13" borderId="19" xfId="0" applyFont="1" applyFill="1" applyBorder="1"/>
    <xf numFmtId="0" fontId="4" fillId="15" borderId="14" xfId="0" applyFont="1" applyFill="1" applyBorder="1"/>
    <xf numFmtId="0" fontId="4" fillId="15" borderId="0" xfId="0" applyFont="1" applyFill="1"/>
    <xf numFmtId="0" fontId="14" fillId="9" borderId="0" xfId="12" applyNumberFormat="1" applyFont="1"/>
    <xf numFmtId="0" fontId="14" fillId="5" borderId="0" xfId="9" applyFont="1" applyBorder="1"/>
    <xf numFmtId="167" fontId="14" fillId="5" borderId="0" xfId="1" applyNumberFormat="1" applyFont="1" applyFill="1" applyBorder="1"/>
    <xf numFmtId="0" fontId="4" fillId="4" borderId="0" xfId="0" applyFont="1" applyFill="1"/>
    <xf numFmtId="0" fontId="18" fillId="0" borderId="0" xfId="0" applyFont="1"/>
    <xf numFmtId="0" fontId="19" fillId="0" borderId="0" xfId="0" applyFont="1"/>
    <xf numFmtId="0" fontId="18" fillId="0" borderId="0" xfId="0" quotePrefix="1" applyFont="1"/>
    <xf numFmtId="0" fontId="9" fillId="16" borderId="21" xfId="0" applyFont="1" applyFill="1" applyBorder="1"/>
    <xf numFmtId="0" fontId="0" fillId="0" borderId="21" xfId="0" applyBorder="1"/>
    <xf numFmtId="0" fontId="9" fillId="16" borderId="0" xfId="0" applyFont="1" applyFill="1"/>
    <xf numFmtId="0" fontId="14" fillId="0" borderId="21" xfId="0" applyFont="1" applyBorder="1"/>
    <xf numFmtId="43" fontId="14" fillId="0" borderId="0" xfId="1" applyFont="1"/>
    <xf numFmtId="43" fontId="14" fillId="0" borderId="21" xfId="1" applyFont="1" applyBorder="1"/>
    <xf numFmtId="0" fontId="2" fillId="4" borderId="0" xfId="4" applyFont="1" applyFill="1"/>
    <xf numFmtId="0" fontId="3" fillId="4" borderId="0" xfId="4" applyFill="1"/>
    <xf numFmtId="0" fontId="9" fillId="0" borderId="0" xfId="4" applyFont="1"/>
    <xf numFmtId="0" fontId="4" fillId="4" borderId="0" xfId="4" applyFont="1" applyFill="1"/>
    <xf numFmtId="0" fontId="6" fillId="0" borderId="3" xfId="4" applyFont="1" applyBorder="1"/>
    <xf numFmtId="0" fontId="3" fillId="0" borderId="3" xfId="4" applyBorder="1"/>
    <xf numFmtId="168" fontId="4" fillId="4" borderId="0" xfId="4" applyNumberFormat="1" applyFont="1" applyFill="1" applyAlignment="1">
      <alignment horizontal="center"/>
    </xf>
    <xf numFmtId="10" fontId="3" fillId="17" borderId="0" xfId="4" applyNumberFormat="1" applyFill="1" applyAlignment="1">
      <alignment horizontal="center"/>
    </xf>
    <xf numFmtId="0" fontId="9" fillId="0" borderId="3" xfId="4" applyFont="1" applyBorder="1"/>
    <xf numFmtId="9" fontId="3" fillId="17" borderId="0" xfId="4" applyNumberFormat="1" applyFill="1" applyAlignment="1">
      <alignment horizontal="center"/>
    </xf>
    <xf numFmtId="165" fontId="3" fillId="17" borderId="0" xfId="20" applyNumberFormat="1" applyFill="1" applyAlignment="1">
      <alignment horizontal="center"/>
    </xf>
    <xf numFmtId="0" fontId="20" fillId="4" borderId="0" xfId="3" applyFont="1">
      <alignment vertical="center"/>
    </xf>
    <xf numFmtId="0" fontId="6" fillId="0" borderId="21" xfId="7" applyBorder="1">
      <alignment vertical="center"/>
    </xf>
    <xf numFmtId="169" fontId="3" fillId="0" borderId="0" xfId="0" applyNumberFormat="1" applyFont="1" applyAlignment="1">
      <alignment horizontal="center"/>
    </xf>
    <xf numFmtId="170" fontId="3" fillId="14" borderId="0" xfId="0" applyNumberFormat="1" applyFont="1" applyFill="1" applyAlignment="1">
      <alignment horizontal="center"/>
    </xf>
    <xf numFmtId="9" fontId="3" fillId="0" borderId="0" xfId="2" applyFont="1" applyAlignment="1">
      <alignment horizontal="center"/>
    </xf>
    <xf numFmtId="170" fontId="18" fillId="0" borderId="0" xfId="0" applyNumberFormat="1" applyFont="1" applyAlignment="1">
      <alignment horizontal="center"/>
    </xf>
    <xf numFmtId="14" fontId="14" fillId="0" borderId="0" xfId="0" applyNumberFormat="1" applyFont="1" applyAlignment="1">
      <alignment horizontal="center" vertical="center"/>
    </xf>
    <xf numFmtId="0" fontId="18" fillId="0" borderId="0" xfId="0" applyFont="1" applyAlignment="1">
      <alignment horizontal="left" indent="1"/>
    </xf>
    <xf numFmtId="0" fontId="0" fillId="0" borderId="0" xfId="0" applyAlignment="1">
      <alignment wrapText="1"/>
    </xf>
    <xf numFmtId="14" fontId="14" fillId="0" borderId="0" xfId="0" applyNumberFormat="1" applyFont="1" applyAlignment="1">
      <alignment horizontal="center" vertical="center" wrapText="1"/>
    </xf>
    <xf numFmtId="171" fontId="9" fillId="0" borderId="3" xfId="0" applyNumberFormat="1" applyFont="1" applyBorder="1"/>
    <xf numFmtId="0" fontId="0" fillId="11" borderId="0" xfId="0" applyFill="1"/>
    <xf numFmtId="171" fontId="9" fillId="18" borderId="3" xfId="0" applyNumberFormat="1" applyFont="1" applyFill="1" applyBorder="1"/>
    <xf numFmtId="0" fontId="0" fillId="18" borderId="0" xfId="0" applyFill="1"/>
    <xf numFmtId="0" fontId="21" fillId="20" borderId="0" xfId="0" applyFont="1" applyFill="1" applyAlignment="1">
      <alignment vertical="center" wrapText="1"/>
    </xf>
    <xf numFmtId="0" fontId="23" fillId="19" borderId="0" xfId="0" quotePrefix="1" applyFont="1" applyFill="1" applyAlignment="1">
      <alignment horizontal="left" vertical="center" wrapText="1"/>
    </xf>
    <xf numFmtId="0" fontId="23" fillId="19" borderId="0" xfId="0" applyFont="1" applyFill="1" applyAlignment="1">
      <alignment horizontal="left" vertical="center" wrapText="1"/>
    </xf>
    <xf numFmtId="0" fontId="13" fillId="0" borderId="0" xfId="19"/>
    <xf numFmtId="0" fontId="0" fillId="0" borderId="0" xfId="0"/>
    <xf numFmtId="22" fontId="23" fillId="19" borderId="0" xfId="0" applyNumberFormat="1" applyFont="1" applyFill="1" applyAlignment="1">
      <alignment horizontal="left" vertical="center" wrapText="1"/>
    </xf>
    <xf numFmtId="21" fontId="23" fillId="19" borderId="0" xfId="0" applyNumberFormat="1" applyFont="1" applyFill="1" applyAlignment="1">
      <alignment horizontal="left" vertical="center" wrapText="1"/>
    </xf>
    <xf numFmtId="46" fontId="23" fillId="19" borderId="0" xfId="0" applyNumberFormat="1" applyFont="1" applyFill="1" applyAlignment="1">
      <alignment horizontal="left" vertical="center" wrapText="1"/>
    </xf>
    <xf numFmtId="0" fontId="22" fillId="20" borderId="0" xfId="0" applyFont="1" applyFill="1" applyAlignment="1">
      <alignment vertical="center"/>
    </xf>
    <xf numFmtId="14" fontId="23" fillId="19" borderId="0" xfId="0" applyNumberFormat="1" applyFont="1" applyFill="1" applyAlignment="1">
      <alignment horizontal="left" vertical="center" wrapText="1"/>
    </xf>
    <xf numFmtId="3" fontId="14" fillId="14" borderId="0" xfId="0" applyNumberFormat="1" applyFont="1" applyFill="1"/>
    <xf numFmtId="14" fontId="14" fillId="5" borderId="0" xfId="9" applyNumberFormat="1" applyFont="1" applyBorder="1" applyAlignment="1">
      <alignment horizontal="center"/>
    </xf>
    <xf numFmtId="14" fontId="14" fillId="5" borderId="12" xfId="9" applyNumberFormat="1" applyFont="1" applyBorder="1" applyAlignment="1">
      <alignment horizontal="center"/>
    </xf>
    <xf numFmtId="3" fontId="14" fillId="0" borderId="0" xfId="0" applyNumberFormat="1" applyFont="1"/>
    <xf numFmtId="3" fontId="14" fillId="14" borderId="0" xfId="0" applyNumberFormat="1" applyFont="1" applyFill="1" applyAlignment="1">
      <alignment horizontal="center"/>
    </xf>
    <xf numFmtId="165" fontId="14" fillId="14" borderId="0" xfId="1" applyNumberFormat="1" applyFont="1" applyFill="1" applyAlignment="1"/>
    <xf numFmtId="0" fontId="14" fillId="0" borderId="0" xfId="0" applyFont="1" applyAlignment="1">
      <alignment horizontal="left" vertical="center"/>
    </xf>
    <xf numFmtId="0" fontId="14" fillId="0" borderId="20" xfId="0" applyFont="1" applyBorder="1" applyAlignment="1">
      <alignment horizontal="center"/>
    </xf>
    <xf numFmtId="0" fontId="14" fillId="0" borderId="0" xfId="0" applyFont="1" applyAlignment="1">
      <alignment horizontal="center"/>
    </xf>
    <xf numFmtId="0" fontId="14" fillId="0" borderId="18" xfId="0" applyFont="1" applyBorder="1" applyAlignment="1">
      <alignment horizontal="center"/>
    </xf>
    <xf numFmtId="0" fontId="14" fillId="0" borderId="19" xfId="0" applyFont="1" applyBorder="1" applyAlignment="1">
      <alignment horizontal="center" vertical="center"/>
    </xf>
    <xf numFmtId="0" fontId="14" fillId="0" borderId="20" xfId="0" applyFont="1" applyBorder="1" applyAlignment="1">
      <alignment horizontal="center" vertical="center"/>
    </xf>
    <xf numFmtId="0" fontId="14" fillId="0" borderId="18" xfId="0" applyFont="1" applyBorder="1" applyAlignment="1">
      <alignment horizontal="center" vertical="center"/>
    </xf>
    <xf numFmtId="0" fontId="13" fillId="19" borderId="0" xfId="19" applyFill="1" applyAlignment="1">
      <alignment horizontal="left" vertical="center" wrapText="1"/>
    </xf>
  </cellXfs>
  <cellStyles count="21">
    <cellStyle name="Bad 2" xfId="18" xr:uid="{9DB1FD74-09F6-41C9-B784-0824425BCA7A}"/>
    <cellStyle name="Calculation 2" xfId="15" xr:uid="{C6731074-DB4E-4ABA-A68F-706E22173148}"/>
    <cellStyle name="Comma" xfId="1" builtinId="3"/>
    <cellStyle name="Comma 2" xfId="20" xr:uid="{9DB9F0E5-8291-40FE-9A7A-D830D736CDE4}"/>
    <cellStyle name="Data" xfId="11" xr:uid="{B5633A66-E47F-48F6-BB23-018DD6395A11}"/>
    <cellStyle name="Explanatory Text 2" xfId="8" xr:uid="{0098E2C4-8FCE-4597-B8BA-87C2960ACDCD}"/>
    <cellStyle name="Good 2" xfId="17" xr:uid="{6E48E30D-7A34-4FD8-911C-B8F3DF2F0944}"/>
    <cellStyle name="Hard Coded Cell" xfId="12" xr:uid="{91DFB4B8-7341-422E-AF26-6371C8874B12}"/>
    <cellStyle name="Heading 1 2" xfId="3" xr:uid="{17E26283-73E9-48AC-846E-BD4DCA1DFE06}"/>
    <cellStyle name="Heading 2 2" xfId="5" xr:uid="{9AC57C5F-E5C0-457B-B6BB-82E32D158C30}"/>
    <cellStyle name="Heading 3 2" xfId="7" xr:uid="{C6069392-4057-4F0D-8442-1BA8EF192C88}"/>
    <cellStyle name="Heading 4 2" xfId="6" xr:uid="{F21E83EA-EE16-49FC-A01E-FA8B10D83E67}"/>
    <cellStyle name="Hyperlink" xfId="19" builtinId="8"/>
    <cellStyle name="Input 2" xfId="9" xr:uid="{AEFC84F5-CC25-414A-8C77-8819FBDD7BE8}"/>
    <cellStyle name="Intentionally Blank" xfId="14" xr:uid="{B53ADAFA-E448-40A0-B1DF-17E62527242C}"/>
    <cellStyle name="Macro Output" xfId="13" xr:uid="{63FE2522-513C-4BC8-B9FB-3CB2A3D6AAAD}"/>
    <cellStyle name="Normal" xfId="0" builtinId="0"/>
    <cellStyle name="Normal 2" xfId="4" xr:uid="{F4465ABE-8A59-444D-A2C3-B1FEBE57F8DA}"/>
    <cellStyle name="Output 2" xfId="16" xr:uid="{4C49F166-43DA-41E7-84E8-7E1DCB828BCF}"/>
    <cellStyle name="Parameter" xfId="10" xr:uid="{8C1F3CB9-0302-405B-851C-AA8ED1C97B1B}"/>
    <cellStyle name="Per cent" xfId="2" builtinId="5"/>
  </cellStyles>
  <dxfs count="12">
    <dxf>
      <numFmt numFmtId="19" formatCode="dd/mm/yyyy"/>
    </dxf>
    <dxf>
      <numFmt numFmtId="2" formatCode="0.00"/>
    </dxf>
    <dxf>
      <alignment horizontal="general" vertical="bottom" textRotation="0" wrapText="0" indent="0" justifyLastLine="0" shrinkToFit="0" readingOrder="0"/>
    </dxf>
    <dxf>
      <fill>
        <patternFill>
          <bgColor rgb="FFFF0000"/>
        </patternFill>
      </fill>
    </dxf>
    <dxf>
      <fill>
        <patternFill>
          <bgColor rgb="FFFFC000"/>
        </patternFill>
      </fill>
    </dxf>
    <dxf>
      <fill>
        <patternFill>
          <bgColor rgb="FF00B050"/>
        </patternFill>
      </fill>
    </dxf>
    <dxf>
      <fill>
        <patternFill>
          <bgColor theme="0" tint="-0.24994659260841701"/>
        </patternFill>
      </fill>
    </dxf>
    <dxf>
      <fill>
        <patternFill>
          <bgColor theme="0" tint="-0.24994659260841701"/>
        </patternFill>
      </fill>
    </dxf>
    <dxf>
      <font>
        <color rgb="FF9C0006"/>
      </font>
      <fill>
        <patternFill>
          <bgColor rgb="FFFFC7CE"/>
        </patternFill>
      </fill>
    </dxf>
    <dxf>
      <font>
        <color rgb="FF006100"/>
      </font>
      <fill>
        <patternFill>
          <bgColor rgb="FFC6EFCE"/>
        </patternFill>
      </fill>
    </dxf>
    <dxf>
      <font>
        <b/>
        <i val="0"/>
        <color theme="0"/>
      </font>
      <fill>
        <patternFill>
          <bgColor theme="4"/>
        </patternFill>
      </fill>
      <border diagonalUp="0" diagonalDown="0">
        <left/>
        <right/>
        <top/>
        <bottom/>
        <vertical/>
        <horizontal/>
      </border>
    </dxf>
    <dxf>
      <fill>
        <patternFill patternType="none">
          <bgColor auto="1"/>
        </patternFill>
      </fill>
      <border diagonalUp="0" diagonalDown="0">
        <left/>
        <right/>
        <top/>
        <bottom style="thin">
          <color theme="4"/>
        </bottom>
        <vertical/>
        <horizontal/>
      </border>
    </dxf>
  </dxfs>
  <tableStyles count="1" defaultTableStyle="TableStyleMedium2" defaultPivotStyle="PivotStyleLight16">
    <tableStyle name="Calculation" pivot="0" count="2" xr9:uid="{524F64C7-9E20-488A-A524-FC88C862F9ED}">
      <tableStyleElement type="wholeTable" dxfId="11"/>
      <tableStyleElement type="headerRow" dxfId="1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5.xml"/><Relationship Id="rId18" Type="http://schemas.microsoft.com/office/2017/10/relationships/person" Target="persons/person.xml"/><Relationship Id="rId3" Type="http://schemas.openxmlformats.org/officeDocument/2006/relationships/worksheet" Target="worksheets/sheet3.xml"/><Relationship Id="rId21"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externalLink" Target="externalLinks/externalLink4.xml"/><Relationship Id="rId17"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3.xml"/><Relationship Id="rId5" Type="http://schemas.openxmlformats.org/officeDocument/2006/relationships/worksheet" Target="worksheets/sheet5.xml"/><Relationship Id="rId15" Type="http://schemas.openxmlformats.org/officeDocument/2006/relationships/styles" Target="styles.xml"/><Relationship Id="rId23" Type="http://schemas.microsoft.com/office/2006/relationships/vbaProject" Target="vbaProject.bin"/><Relationship Id="rId10" Type="http://schemas.openxmlformats.org/officeDocument/2006/relationships/externalLink" Target="externalLinks/externalLink2.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theme" Target="theme/theme1.xml"/><Relationship Id="rId22"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381001</xdr:colOff>
      <xdr:row>85</xdr:row>
      <xdr:rowOff>114299</xdr:rowOff>
    </xdr:from>
    <xdr:to>
      <xdr:col>2</xdr:col>
      <xdr:colOff>1112100</xdr:colOff>
      <xdr:row>93</xdr:row>
      <xdr:rowOff>44450</xdr:rowOff>
    </xdr:to>
    <xdr:pic>
      <xdr:nvPicPr>
        <xdr:cNvPr id="2" name="Picture 1">
          <a:extLst>
            <a:ext uri="{FF2B5EF4-FFF2-40B4-BE49-F238E27FC236}">
              <a16:creationId xmlns:a16="http://schemas.microsoft.com/office/drawing/2014/main" id="{60382CB5-E0A8-458C-B559-EE32686303FE}"/>
            </a:ext>
          </a:extLst>
        </xdr:cNvPr>
        <xdr:cNvPicPr>
          <a:picLocks noChangeAspect="1"/>
        </xdr:cNvPicPr>
      </xdr:nvPicPr>
      <xdr:blipFill>
        <a:blip xmlns:r="http://schemas.openxmlformats.org/officeDocument/2006/relationships" r:embed="rId1"/>
        <a:stretch>
          <a:fillRect/>
        </a:stretch>
      </xdr:blipFill>
      <xdr:spPr>
        <a:xfrm>
          <a:off x="533401" y="15373349"/>
          <a:ext cx="1464524" cy="1377951"/>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0</xdr:colOff>
          <xdr:row>74</xdr:row>
          <xdr:rowOff>0</xdr:rowOff>
        </xdr:from>
        <xdr:to>
          <xdr:col>6</xdr:col>
          <xdr:colOff>0</xdr:colOff>
          <xdr:row>77</xdr:row>
          <xdr:rowOff>0</xdr:rowOff>
        </xdr:to>
        <xdr:sp macro="" textlink="">
          <xdr:nvSpPr>
            <xdr:cNvPr id="3082" name="btnGenerateBondsLiteInput" hidden="1">
              <a:extLst>
                <a:ext uri="{63B3BB69-23CF-44E3-9099-C40C66FF867C}">
                  <a14:compatExt spid="_x0000_s3082"/>
                </a:ext>
                <a:ext uri="{FF2B5EF4-FFF2-40B4-BE49-F238E27FC236}">
                  <a16:creationId xmlns:a16="http://schemas.microsoft.com/office/drawing/2014/main" id="{00000000-0008-0000-0100-00000A0C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100" b="0" i="0" u="none" strike="noStrike" baseline="0">
                  <a:solidFill>
                    <a:srgbClr val="373433"/>
                  </a:solidFill>
                  <a:latin typeface="Just Sans"/>
                </a:rPr>
                <a:t>Generate Bonds Lite Input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84</xdr:row>
          <xdr:rowOff>0</xdr:rowOff>
        </xdr:from>
        <xdr:to>
          <xdr:col>6</xdr:col>
          <xdr:colOff>0</xdr:colOff>
          <xdr:row>87</xdr:row>
          <xdr:rowOff>0</xdr:rowOff>
        </xdr:to>
        <xdr:sp macro="" textlink="">
          <xdr:nvSpPr>
            <xdr:cNvPr id="3083" name="btnRunBondsLite" hidden="1">
              <a:extLst>
                <a:ext uri="{63B3BB69-23CF-44E3-9099-C40C66FF867C}">
                  <a14:compatExt spid="_x0000_s3083"/>
                </a:ext>
                <a:ext uri="{FF2B5EF4-FFF2-40B4-BE49-F238E27FC236}">
                  <a16:creationId xmlns:a16="http://schemas.microsoft.com/office/drawing/2014/main" id="{00000000-0008-0000-0100-00000B0C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100" b="0" i="0" u="none" strike="noStrike" baseline="0">
                  <a:solidFill>
                    <a:srgbClr val="373433"/>
                  </a:solidFill>
                  <a:latin typeface="Just Sans"/>
                </a:rPr>
                <a:t>Run Bonds Lite</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server090\internal%20model$\7%20ALM\2026\8.%20August\REM\JRL\202603-MCD-Aug28th\202603_JRL_REM_v1.02_mcd28Aug2026.xlsb" TargetMode="External"/><Relationship Id="rId1" Type="http://schemas.openxmlformats.org/officeDocument/2006/relationships/externalLinkPath" Target="file:///\\server090\internal%20model$\7%20ALM\2026\8.%20August\REM\JRL\202603-MCD-Aug28th\202603_JRL_REM_v1.02_mcd28Aug2026.xlsb"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file:///\\server015\Actuarial%20Reporting$\2025%20-%2012\5%20Reporting%20Metrics\2%20SII\6%20SCR\4%20Group\202512_Group%20_SCR_v9.0.xlsx" TargetMode="External"/><Relationship Id="rId1" Type="http://schemas.openxmlformats.org/officeDocument/2006/relationships/externalLinkPath" Target="file:///\\server015\Actuarial%20Reporting$\2025%20-%2012\5%20Reporting%20Metrics\2%20SII\6%20SCR\4%20Group\202512_Group%20_SCR_v9.0.xlsx" TargetMode="External"/></Relationships>
</file>

<file path=xl/externalLinks/_rels/externalLink3.xml.rels><?xml version="1.0" encoding="UTF-8" standalone="yes"?>
<Relationships xmlns="http://schemas.openxmlformats.org/package/2006/relationships"><Relationship Id="rId2" Type="http://schemas.openxmlformats.org/officeDocument/2006/relationships/externalLinkPath" Target="file:///\\server015\Actuarial%20Reporting$\2026%20-%2006\5%20Reporting%20Metrics\2%20SII\6%20SCR\4%20Group\202606_EUC_v1.00_Group%20_SCR_v6.0.xlsx" TargetMode="External"/><Relationship Id="rId1" Type="http://schemas.openxmlformats.org/officeDocument/2006/relationships/externalLinkPath" Target="file:///\\server015\Actuarial%20Reporting$\2026%20-%2006\5%20Reporting%20Metrics\2%20SII\6%20SCR\4%20Group\202606_EUC_v1.00_Group%20_SCR_v6.0.xlsx" TargetMode="External"/></Relationships>
</file>

<file path=xl/externalLinks/_rels/externalLink4.xml.rels><?xml version="1.0" encoding="UTF-8" standalone="yes"?>
<Relationships xmlns="http://schemas.openxmlformats.org/package/2006/relationships"><Relationship Id="rId3" Type="http://schemas.openxmlformats.org/officeDocument/2006/relationships/externalLinkPath" Target="../../02%20Sensitivities/2025/10%20Q2%20Reporting%20Sensitivities/20260811%20S0201_TBB_Jun26.xlsx" TargetMode="External"/><Relationship Id="rId2" Type="http://schemas.openxmlformats.org/officeDocument/2006/relationships/externalLinkPath" Target="https://justretirement.sharepoint.com/sites/FinancialResilienceTeam/Shared%20Documents/General/02%20Sensitivities/2025/10%20Q2%20Reporting%20Sensitivities/20260811%20S0201_TBB_Jun26.xlsx" TargetMode="External"/><Relationship Id="rId1" Type="http://schemas.openxmlformats.org/officeDocument/2006/relationships/externalLinkPath" Target="/sites/FinancialResilienceTeam/Shared%20Documents/General/02%20Sensitivities/2025/10%20Q2%20Reporting%20Sensitivities/20260811%20S0201_TBB_Jun26.xlsx" TargetMode="External"/></Relationships>
</file>

<file path=xl/externalLinks/_rels/externalLink5.xml.rels><?xml version="1.0" encoding="UTF-8" standalone="yes"?>
<Relationships xmlns="http://schemas.openxmlformats.org/package/2006/relationships"><Relationship Id="rId3" Type="http://schemas.openxmlformats.org/officeDocument/2006/relationships/externalLinkPath" Target="../../02%20Sensitivities/2025/14%20Capital%20Risk%20Appetite/Q2_CapRiskApp_v1.xlsb" TargetMode="External"/><Relationship Id="rId2" Type="http://schemas.openxmlformats.org/officeDocument/2006/relationships/externalLinkPath" Target="https://justretirement.sharepoint.com/sites/FinancialResilienceTeam/Shared%20Documents/General/02%20Sensitivities/2025/14%20Capital%20Risk%20Appetite/Q2_CapRiskApp_v1.xlsb" TargetMode="External"/><Relationship Id="rId1" Type="http://schemas.openxmlformats.org/officeDocument/2006/relationships/externalLinkPath" Target="/sites/FinancialResilienceTeam/Shared%20Documents/General/02%20Sensitivities/2025/14%20Capital%20Risk%20Appetite/Q2_CapRiskApp_v1.xlsb"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EUC Coversheet"/>
      <sheetName val="P. Parameter"/>
      <sheetName val="I. Control"/>
      <sheetName val="I. Other"/>
      <sheetName val="I. Stresses"/>
      <sheetName val="I. PreRetirement"/>
      <sheetName val="I. BalanceSheet"/>
      <sheetName val="I. Sensitivities"/>
      <sheetName val="I. PrincipalComponents"/>
      <sheetName val="C. BaseCFs"/>
      <sheetName val="C. BalanceSheet"/>
      <sheetName val="C. BaseKRD"/>
      <sheetName val="C. MAP Assets"/>
      <sheetName val="C. NMAP Assets"/>
      <sheetName val="C. MAP Liabilities"/>
      <sheetName val="C. NMAP Liabilities"/>
      <sheetName val="C. Derivatives"/>
      <sheetName val="C. Proposal"/>
      <sheetName val="O. BalSheet SII"/>
      <sheetName val="O. KRD SII"/>
      <sheetName val="O. Charts"/>
      <sheetName val="O. Checks"/>
      <sheetName val="202603_JRL_REM_v1"/>
    </sheetNames>
    <sheetDataSet>
      <sheetData sheetId="0"/>
      <sheetData sheetId="1">
        <row r="9">
          <cell r="C9">
            <v>1000</v>
          </cell>
        </row>
      </sheetData>
      <sheetData sheetId="2">
        <row r="9">
          <cell r="D9" t="str">
            <v>JRL</v>
          </cell>
        </row>
      </sheetData>
      <sheetData sheetId="3"/>
      <sheetData sheetId="4">
        <row r="8">
          <cell r="B8">
            <v>1</v>
          </cell>
        </row>
      </sheetData>
      <sheetData sheetId="5"/>
      <sheetData sheetId="6">
        <row r="15">
          <cell r="I15">
            <v>0</v>
          </cell>
        </row>
      </sheetData>
      <sheetData sheetId="7"/>
      <sheetData sheetId="8"/>
      <sheetData sheetId="9"/>
      <sheetData sheetId="10"/>
      <sheetData sheetId="11"/>
      <sheetData sheetId="12">
        <row r="1">
          <cell r="A1" t="str">
            <v>ISIN</v>
          </cell>
        </row>
      </sheetData>
      <sheetData sheetId="13">
        <row r="1">
          <cell r="A1" t="str">
            <v>ISIN</v>
          </cell>
        </row>
      </sheetData>
      <sheetData sheetId="14">
        <row r="1">
          <cell r="A1" t="str">
            <v>Product</v>
          </cell>
        </row>
      </sheetData>
      <sheetData sheetId="15">
        <row r="1">
          <cell r="A1" t="str">
            <v>Product</v>
          </cell>
        </row>
      </sheetData>
      <sheetData sheetId="16"/>
      <sheetData sheetId="17">
        <row r="11">
          <cell r="F11">
            <v>-2457314764.4915719</v>
          </cell>
        </row>
      </sheetData>
      <sheetData sheetId="18"/>
      <sheetData sheetId="19"/>
      <sheetData sheetId="20"/>
      <sheetData sheetId="21">
        <row r="7">
          <cell r="B7" t="str">
            <v>Balance Sheet Checks</v>
          </cell>
          <cell r="C7" t="str">
            <v>at valuation date excluding NB</v>
          </cell>
          <cell r="D7"/>
          <cell r="E7"/>
          <cell r="F7"/>
          <cell r="H7" t="str">
            <v>Consistency Checks</v>
          </cell>
          <cell r="I7"/>
          <cell r="K7" t="str">
            <v>Goal Seek</v>
          </cell>
          <cell r="L7"/>
          <cell r="M7"/>
          <cell r="O7" t="str">
            <v>Chart MI</v>
          </cell>
          <cell r="P7"/>
          <cell r="R7" t="str">
            <v>Comparison to Previous</v>
          </cell>
          <cell r="S7"/>
          <cell r="T7"/>
          <cell r="U7"/>
          <cell r="V7"/>
          <cell r="W7"/>
          <cell r="X7"/>
          <cell r="Y7"/>
          <cell r="Z7"/>
        </row>
        <row r="9">
          <cell r="B9" t="str">
            <v>SII</v>
          </cell>
          <cell r="C9" t="str">
            <v>Input</v>
          </cell>
          <cell r="D9" t="str">
            <v>Output</v>
          </cell>
          <cell r="E9" t="str">
            <v>Δ</v>
          </cell>
          <cell r="F9" t="str">
            <v>Check</v>
          </cell>
          <cell r="I9">
            <v>1</v>
          </cell>
          <cell r="K9" t="str">
            <v>Check</v>
          </cell>
          <cell r="L9" t="str">
            <v>Diff</v>
          </cell>
          <cell r="M9" t="str">
            <v>Tolerance</v>
          </cell>
          <cell r="R9"/>
          <cell r="S9">
            <v>46258</v>
          </cell>
          <cell r="T9">
            <v>46262</v>
          </cell>
          <cell r="U9"/>
          <cell r="W9"/>
          <cell r="X9">
            <v>46258</v>
          </cell>
          <cell r="Y9">
            <v>46262</v>
          </cell>
          <cell r="Z9"/>
        </row>
        <row r="10">
          <cell r="B10" t="str">
            <v>Cash</v>
          </cell>
          <cell r="C10">
            <v>1296.2789989299997</v>
          </cell>
          <cell r="D10">
            <v>1825.797457375046</v>
          </cell>
          <cell r="E10">
            <v>529.51845844504624</v>
          </cell>
          <cell r="F10" t="str">
            <v>Not Applicable</v>
          </cell>
          <cell r="H10" t="str">
            <v>Portfolio - MAP Asset RF+Spread</v>
          </cell>
          <cell r="I10">
            <v>22928219759.429935</v>
          </cell>
          <cell r="K10" t="str">
            <v>IRS_Prop_Term1</v>
          </cell>
          <cell r="L10">
            <v>-6.6938810050487518E-10</v>
          </cell>
          <cell r="M10" t="b">
            <v>1</v>
          </cell>
          <cell r="O10" t="str">
            <v>MAP/NMAP split</v>
          </cell>
          <cell r="P10" t="b">
            <v>1</v>
          </cell>
          <cell r="R10" t="str">
            <v>DV01</v>
          </cell>
          <cell r="S10" t="str">
            <v>Own Funds (Gross)</v>
          </cell>
          <cell r="T10"/>
          <cell r="U10" t="str">
            <v>Change</v>
          </cell>
          <cell r="W10" t="str">
            <v>IE01</v>
          </cell>
          <cell r="X10" t="str">
            <v>Assets - Liabs</v>
          </cell>
          <cell r="Y10"/>
          <cell r="Z10" t="str">
            <v>Change</v>
          </cell>
        </row>
        <row r="11">
          <cell r="B11" t="str">
            <v>Other</v>
          </cell>
          <cell r="C11">
            <v>1050.3503889014837</v>
          </cell>
          <cell r="D11">
            <v>1050.3503889014837</v>
          </cell>
          <cell r="E11">
            <v>0</v>
          </cell>
          <cell r="F11" t="str">
            <v>Not Applicable</v>
          </cell>
          <cell r="H11" t="str">
            <v>Granular - MAP Asset RF+Spread</v>
          </cell>
          <cell r="I11">
            <v>22928219759.429951</v>
          </cell>
          <cell r="K11" t="str">
            <v>IRS_Prop_Term2</v>
          </cell>
          <cell r="L11">
            <v>0</v>
          </cell>
          <cell r="M11" t="b">
            <v>1</v>
          </cell>
          <cell r="R11" t="str">
            <v>Total, £k</v>
          </cell>
          <cell r="S11">
            <v>-3126.3366153565544</v>
          </cell>
          <cell r="T11">
            <v>-3115.3957099983936</v>
          </cell>
          <cell r="U11">
            <v>10.940905358160762</v>
          </cell>
          <cell r="W11" t="str">
            <v>Total, £k</v>
          </cell>
          <cell r="X11">
            <v>-17.85943671184441</v>
          </cell>
          <cell r="Y11">
            <v>2.9862102771090235</v>
          </cell>
          <cell r="Z11">
            <v>20.845646988953433</v>
          </cell>
        </row>
        <row r="12">
          <cell r="B12" t="str">
            <v>Reinsurance Asset</v>
          </cell>
          <cell r="C12">
            <v>1458.7852373692201</v>
          </cell>
          <cell r="D12">
            <v>1458.7852373692201</v>
          </cell>
          <cell r="E12">
            <v>0</v>
          </cell>
          <cell r="F12" t="str">
            <v>Not Applicable</v>
          </cell>
          <cell r="H12" t="str">
            <v>Difference</v>
          </cell>
          <cell r="I12">
            <v>0</v>
          </cell>
          <cell r="K12" t="str">
            <v>IRS_Prop_Term3</v>
          </cell>
          <cell r="L12">
            <v>1.7753336578607559E-9</v>
          </cell>
          <cell r="M12" t="b">
            <v>1</v>
          </cell>
          <cell r="R12" t="str">
            <v>KRD 1</v>
          </cell>
          <cell r="S12">
            <v>149.81543323120439</v>
          </cell>
          <cell r="T12">
            <v>150.12807957411127</v>
          </cell>
          <cell r="U12">
            <v>0.31264634290687354</v>
          </cell>
          <cell r="W12" t="str">
            <v>KRD 1</v>
          </cell>
          <cell r="X12">
            <v>3.211703765532766</v>
          </cell>
          <cell r="Y12">
            <v>3.0720670527682454</v>
          </cell>
          <cell r="Z12">
            <v>-0.13963671276452061</v>
          </cell>
        </row>
        <row r="13">
          <cell r="B13" t="str">
            <v>Mortgage</v>
          </cell>
          <cell r="C13">
            <v>5395.3558505500014</v>
          </cell>
          <cell r="D13">
            <v>5309.9326593497599</v>
          </cell>
          <cell r="E13">
            <v>-85.42319120024149</v>
          </cell>
          <cell r="F13" t="str">
            <v>Not Applicable</v>
          </cell>
          <cell r="H13" t="str">
            <v>Check</v>
          </cell>
          <cell r="I13" t="b">
            <v>1</v>
          </cell>
          <cell r="K13" t="str">
            <v>IRS_Prop_Term4</v>
          </cell>
          <cell r="L13">
            <v>-5.6752469390630722E-9</v>
          </cell>
          <cell r="M13" t="b">
            <v>1</v>
          </cell>
          <cell r="R13" t="str">
            <v>KRD 2</v>
          </cell>
          <cell r="S13">
            <v>172.70291130004875</v>
          </cell>
          <cell r="T13">
            <v>172.66852169421296</v>
          </cell>
          <cell r="U13">
            <v>-3.438960583579842E-2</v>
          </cell>
          <cell r="W13" t="str">
            <v>KRD 2</v>
          </cell>
          <cell r="X13">
            <v>-36.523013172244909</v>
          </cell>
          <cell r="Y13">
            <v>-36.459396737518588</v>
          </cell>
          <cell r="Z13">
            <v>6.3616434726320392E-2</v>
          </cell>
        </row>
        <row r="14">
          <cell r="B14" t="str">
            <v>Bonds &amp; Derivatives</v>
          </cell>
          <cell r="C14">
            <v>19062.601919389996</v>
          </cell>
          <cell r="D14">
            <v>18564.250374683579</v>
          </cell>
          <cell r="E14">
            <v>-498.35154470641646</v>
          </cell>
          <cell r="F14" t="str">
            <v>Not Applicable</v>
          </cell>
          <cell r="H14" t="str">
            <v>Portfolio - MAP Liab RF</v>
          </cell>
          <cell r="I14">
            <v>27886880988.963451</v>
          </cell>
          <cell r="K14" t="str">
            <v>IRS_Prop_Term5</v>
          </cell>
          <cell r="L14">
            <v>3.8417056202888489E-9</v>
          </cell>
          <cell r="M14" t="b">
            <v>1</v>
          </cell>
          <cell r="R14" t="str">
            <v>KRD 3</v>
          </cell>
          <cell r="S14">
            <v>-171.17767760522676</v>
          </cell>
          <cell r="T14">
            <v>-171.00634798673235</v>
          </cell>
          <cell r="U14">
            <v>0.17132961849441131</v>
          </cell>
          <cell r="W14" t="str">
            <v>KRD 3</v>
          </cell>
          <cell r="X14">
            <v>41.229593737724123</v>
          </cell>
          <cell r="Y14">
            <v>41.81476280458174</v>
          </cell>
          <cell r="Z14">
            <v>0.58516906685761683</v>
          </cell>
        </row>
        <row r="15">
          <cell r="B15" t="str">
            <v>Total Assets</v>
          </cell>
          <cell r="C15">
            <v>28263.372395140701</v>
          </cell>
          <cell r="D15">
            <v>28209.116117679088</v>
          </cell>
          <cell r="E15">
            <v>-54.256277461612626</v>
          </cell>
          <cell r="F15" t="str">
            <v>Not Applicable</v>
          </cell>
          <cell r="H15" t="str">
            <v>Granular - MAP Liab RF</v>
          </cell>
          <cell r="I15">
            <v>27886880988.963474</v>
          </cell>
          <cell r="K15" t="str">
            <v>IRS_Prop_Term6</v>
          </cell>
          <cell r="L15">
            <v>-1.1292286217212677E-8</v>
          </cell>
          <cell r="M15" t="b">
            <v>1</v>
          </cell>
          <cell r="O15" t="str">
            <v>DataMart Curves</v>
          </cell>
          <cell r="P15"/>
          <cell r="R15" t="str">
            <v>KRD 4</v>
          </cell>
          <cell r="S15">
            <v>217.18865460263112</v>
          </cell>
          <cell r="T15">
            <v>216.9825160043543</v>
          </cell>
          <cell r="U15">
            <v>-0.2061385982768229</v>
          </cell>
          <cell r="W15" t="str">
            <v>KRD 5</v>
          </cell>
          <cell r="X15">
            <v>-2.2738948281888116</v>
          </cell>
          <cell r="Y15">
            <v>-0.64173687836671034</v>
          </cell>
          <cell r="Z15">
            <v>1.6321579498221013</v>
          </cell>
        </row>
        <row r="16">
          <cell r="B16"/>
          <cell r="C16"/>
          <cell r="D16"/>
          <cell r="E16"/>
          <cell r="F16"/>
          <cell r="H16" t="str">
            <v>Difference</v>
          </cell>
          <cell r="I16">
            <v>0</v>
          </cell>
          <cell r="K16" t="str">
            <v>IRS_Prop_Term7</v>
          </cell>
          <cell r="L16">
            <v>5.8207660913467407E-9</v>
          </cell>
          <cell r="M16" t="b">
            <v>1</v>
          </cell>
          <cell r="R16" t="str">
            <v>KRD 5</v>
          </cell>
          <cell r="S16">
            <v>63.851600132624114</v>
          </cell>
          <cell r="T16">
            <v>63.652104346534507</v>
          </cell>
          <cell r="U16">
            <v>-0.1994957860896065</v>
          </cell>
          <cell r="W16" t="str">
            <v>KRD 7</v>
          </cell>
          <cell r="X16">
            <v>-56.363042409856142</v>
          </cell>
          <cell r="Y16">
            <v>-54.154466761976799</v>
          </cell>
          <cell r="Z16">
            <v>2.2085756478793428</v>
          </cell>
        </row>
        <row r="17">
          <cell r="B17" t="str">
            <v>Insurance Liabilities (Risk free)</v>
          </cell>
          <cell r="C17">
            <v>30163.393667721284</v>
          </cell>
          <cell r="D17">
            <v>29982.653223385554</v>
          </cell>
          <cell r="E17">
            <v>-180.74044433572999</v>
          </cell>
          <cell r="F17" t="str">
            <v>Not Applicable</v>
          </cell>
          <cell r="H17" t="str">
            <v>Check</v>
          </cell>
          <cell r="I17" t="b">
            <v>1</v>
          </cell>
          <cell r="K17" t="str">
            <v>IRS_Prop_Term8</v>
          </cell>
          <cell r="L17">
            <v>-1.4901161193847656E-8</v>
          </cell>
          <cell r="M17" t="b">
            <v>1</v>
          </cell>
          <cell r="O17" t="str">
            <v>No unrefreshed</v>
          </cell>
          <cell r="P17" t="b">
            <v>1</v>
          </cell>
          <cell r="R17" t="str">
            <v>KRD 6</v>
          </cell>
          <cell r="S17">
            <v>926.51685200972247</v>
          </cell>
          <cell r="T17">
            <v>924.5350563949994</v>
          </cell>
          <cell r="U17">
            <v>-1.9817956147230689</v>
          </cell>
          <cell r="W17" t="str">
            <v>KRD 10</v>
          </cell>
          <cell r="X17">
            <v>9.2858179131847791</v>
          </cell>
          <cell r="Y17">
            <v>12.689094812519521</v>
          </cell>
          <cell r="Z17">
            <v>3.4032768993347418</v>
          </cell>
        </row>
        <row r="18">
          <cell r="B18" t="str">
            <v>Matching Adjustment</v>
          </cell>
          <cell r="C18">
            <v>-4574.4164639664614</v>
          </cell>
          <cell r="D18">
            <v>-4388.5073855502587</v>
          </cell>
          <cell r="E18">
            <v>185.90907841620265</v>
          </cell>
          <cell r="F18" t="str">
            <v>Not Applicable</v>
          </cell>
          <cell r="H18" t="str">
            <v>Portfolio - MAP Liab RF+MA</v>
          </cell>
          <cell r="I18">
            <v>23498373603.413193</v>
          </cell>
          <cell r="K18" t="str">
            <v>IRS_Prop_Term9</v>
          </cell>
          <cell r="L18">
            <v>-2.6659108698368073E-8</v>
          </cell>
          <cell r="M18" t="b">
            <v>1</v>
          </cell>
          <cell r="R18" t="str">
            <v>KRD 7</v>
          </cell>
          <cell r="S18">
            <v>-633.2551365741507</v>
          </cell>
          <cell r="T18">
            <v>-631.35822682384867</v>
          </cell>
          <cell r="U18">
            <v>1.8969097503020294</v>
          </cell>
          <cell r="W18" t="str">
            <v>KRD 15</v>
          </cell>
          <cell r="X18">
            <v>-4.2924796029359129</v>
          </cell>
          <cell r="Y18">
            <v>-0.1263907909554689</v>
          </cell>
          <cell r="Z18">
            <v>4.166088811980444</v>
          </cell>
        </row>
        <row r="19">
          <cell r="B19" t="str">
            <v>Risk Margin</v>
          </cell>
          <cell r="C19">
            <v>179.19018114497601</v>
          </cell>
          <cell r="D19">
            <v>162.89274848428272</v>
          </cell>
          <cell r="E19">
            <v>-16.297432660693289</v>
          </cell>
          <cell r="F19" t="str">
            <v>Not Applicable</v>
          </cell>
          <cell r="H19" t="str">
            <v>Granular - MAP Liab RF+MA</v>
          </cell>
          <cell r="I19">
            <v>23498373603.413231</v>
          </cell>
          <cell r="K19" t="str">
            <v>IRS_Prop_Term10</v>
          </cell>
          <cell r="L19">
            <v>-5.9430021792650223E-8</v>
          </cell>
          <cell r="M19" t="b">
            <v>1</v>
          </cell>
          <cell r="R19" t="str">
            <v>KRD 8</v>
          </cell>
          <cell r="S19">
            <v>253.64425697255788</v>
          </cell>
          <cell r="T19">
            <v>252.93385311382329</v>
          </cell>
          <cell r="U19">
            <v>-0.710403858734594</v>
          </cell>
          <cell r="W19" t="str">
            <v>KRD 20</v>
          </cell>
          <cell r="X19">
            <v>-17.420988135821233</v>
          </cell>
          <cell r="Y19">
            <v>-12.315816400474148</v>
          </cell>
          <cell r="Z19">
            <v>5.1051717353470849</v>
          </cell>
        </row>
        <row r="20">
          <cell r="B20" t="str">
            <v>TMTP</v>
          </cell>
          <cell r="C20">
            <v>-213.6679070088307</v>
          </cell>
          <cell r="D20">
            <v>-201.45237968341445</v>
          </cell>
          <cell r="E20">
            <v>12.215527325416247</v>
          </cell>
          <cell r="F20" t="str">
            <v>Not Applicable</v>
          </cell>
          <cell r="H20" t="str">
            <v>Difference</v>
          </cell>
          <cell r="I20">
            <v>3.814697265625E-5</v>
          </cell>
          <cell r="K20" t="str">
            <v>IRS_Prop_Term15</v>
          </cell>
          <cell r="L20">
            <v>1.5972182154655457E-7</v>
          </cell>
          <cell r="M20" t="b">
            <v>1</v>
          </cell>
          <cell r="R20" t="str">
            <v>KRD 9</v>
          </cell>
          <cell r="S20">
            <v>163.55778570150997</v>
          </cell>
          <cell r="T20">
            <v>163.66708405538529</v>
          </cell>
          <cell r="U20">
            <v>0.10929835387531739</v>
          </cell>
          <cell r="W20" t="str">
            <v>KRD 30</v>
          </cell>
          <cell r="X20">
            <v>-433.96626300512287</v>
          </cell>
          <cell r="Y20">
            <v>-432.0643952819072</v>
          </cell>
          <cell r="Z20">
            <v>1.9018677232156733</v>
          </cell>
        </row>
        <row r="21">
          <cell r="B21" t="str">
            <v>Other</v>
          </cell>
          <cell r="C21">
            <v>770.72241876148416</v>
          </cell>
          <cell r="D21">
            <v>770.72241876148416</v>
          </cell>
          <cell r="E21">
            <v>0</v>
          </cell>
          <cell r="F21" t="str">
            <v>Not Applicable</v>
          </cell>
          <cell r="H21" t="str">
            <v>Check</v>
          </cell>
          <cell r="I21" t="b">
            <v>1</v>
          </cell>
          <cell r="K21" t="str">
            <v>IRS_Prop_Term20</v>
          </cell>
          <cell r="L21">
            <v>-5.005858838558197E-9</v>
          </cell>
          <cell r="M21" t="b">
            <v>1</v>
          </cell>
          <cell r="R21" t="str">
            <v>KRD 10</v>
          </cell>
          <cell r="S21">
            <v>255.82741489941321</v>
          </cell>
          <cell r="T21">
            <v>254.15627487370762</v>
          </cell>
          <cell r="U21">
            <v>-1.6711400257055971</v>
          </cell>
          <cell r="W21" t="str">
            <v>KRD 40</v>
          </cell>
          <cell r="X21">
            <v>29.618207379068835</v>
          </cell>
          <cell r="Y21">
            <v>29.919766363606513</v>
          </cell>
          <cell r="Z21">
            <v>0.30155898453767804</v>
          </cell>
        </row>
        <row r="22">
          <cell r="B22" t="str">
            <v>Current Tax Liability</v>
          </cell>
          <cell r="C22">
            <v>-1.2156926800000001</v>
          </cell>
          <cell r="D22">
            <v>-1.2156926800000001</v>
          </cell>
          <cell r="E22">
            <v>0</v>
          </cell>
          <cell r="F22" t="str">
            <v>Not Applicable</v>
          </cell>
          <cell r="H22" t="str">
            <v>Portfolio - NMAP Asset RF+Spread</v>
          </cell>
          <cell r="I22">
            <v>800501491.87332082</v>
          </cell>
          <cell r="K22" t="str">
            <v>IRS_Prop_Term25</v>
          </cell>
          <cell r="L22">
            <v>1.5599653124809265E-8</v>
          </cell>
          <cell r="M22" t="b">
            <v>1</v>
          </cell>
          <cell r="R22" t="str">
            <v>KRD 15</v>
          </cell>
          <cell r="S22">
            <v>-910.86762879353057</v>
          </cell>
          <cell r="T22">
            <v>-905.34393638514871</v>
          </cell>
          <cell r="U22">
            <v>5.5236924083818622</v>
          </cell>
          <cell r="W22" t="str">
            <v>KRD 50</v>
          </cell>
          <cell r="X22">
            <v>449.63492164681497</v>
          </cell>
          <cell r="Y22">
            <v>451.25272209483188</v>
          </cell>
          <cell r="Z22">
            <v>1.6178004480169079</v>
          </cell>
        </row>
        <row r="23">
          <cell r="B23" t="str">
            <v>DTL - No TMTP</v>
          </cell>
          <cell r="C23">
            <v>-58.725769227938372</v>
          </cell>
          <cell r="D23">
            <v>-82.007638948286626</v>
          </cell>
          <cell r="E23">
            <v>-23.281869720348254</v>
          </cell>
          <cell r="F23" t="str">
            <v>Not Applicable</v>
          </cell>
          <cell r="H23" t="str">
            <v>Granular - NMAP Asset RF+Spread</v>
          </cell>
          <cell r="I23">
            <v>800501491.87332082</v>
          </cell>
          <cell r="K23" t="str">
            <v>IRS_Prop_Term30</v>
          </cell>
          <cell r="L23">
            <v>5.5879354476928711E-9</v>
          </cell>
          <cell r="M23" t="b">
            <v>1</v>
          </cell>
          <cell r="R23" t="str">
            <v>KRD 20</v>
          </cell>
          <cell r="S23">
            <v>-379.19024229929778</v>
          </cell>
          <cell r="T23">
            <v>-377.01303923549074</v>
          </cell>
          <cell r="U23">
            <v>2.1772030638070419</v>
          </cell>
        </row>
        <row r="24">
          <cell r="B24" t="str">
            <v>DTL - TMTP recalc</v>
          </cell>
          <cell r="C24">
            <v>0</v>
          </cell>
          <cell r="D24">
            <v>-3.0538818313540617</v>
          </cell>
          <cell r="E24">
            <v>-3.0538818313540617</v>
          </cell>
          <cell r="F24" t="str">
            <v>Not Applicable</v>
          </cell>
          <cell r="H24" t="str">
            <v>Difference</v>
          </cell>
          <cell r="I24">
            <v>0</v>
          </cell>
          <cell r="K24" t="str">
            <v>IRS_Prop_Term40</v>
          </cell>
          <cell r="L24">
            <v>0</v>
          </cell>
          <cell r="M24" t="b">
            <v>1</v>
          </cell>
          <cell r="R24" t="str">
            <v>KRD 25</v>
          </cell>
          <cell r="S24">
            <v>-746.09922180240278</v>
          </cell>
          <cell r="T24">
            <v>-737.90707124220444</v>
          </cell>
          <cell r="U24">
            <v>8.1921505601983426</v>
          </cell>
        </row>
        <row r="25">
          <cell r="B25" t="str">
            <v>Total Liabilities</v>
          </cell>
          <cell r="C25">
            <v>26265.280434744513</v>
          </cell>
          <cell r="D25">
            <v>26240.031411938005</v>
          </cell>
          <cell r="E25">
            <v>-25.249022806507128</v>
          </cell>
          <cell r="F25" t="str">
            <v>Not Applicable</v>
          </cell>
          <cell r="H25" t="str">
            <v>Check</v>
          </cell>
          <cell r="I25" t="b">
            <v>1</v>
          </cell>
          <cell r="K25" t="str">
            <v>IRS_Prop_Term50</v>
          </cell>
          <cell r="L25">
            <v>0</v>
          </cell>
          <cell r="M25" t="b">
            <v>1</v>
          </cell>
          <cell r="R25" t="str">
            <v>KRD 30</v>
          </cell>
          <cell r="S25">
            <v>-1096.2664095343312</v>
          </cell>
          <cell r="T25">
            <v>-1091.4642570774081</v>
          </cell>
          <cell r="U25">
            <v>4.8021524569230678</v>
          </cell>
        </row>
        <row r="26">
          <cell r="B26"/>
          <cell r="C26"/>
          <cell r="D26"/>
          <cell r="E26"/>
          <cell r="F26"/>
          <cell r="H26" t="str">
            <v>Portfolio - NMAP Liab RF</v>
          </cell>
          <cell r="I26">
            <v>756699251.03505683</v>
          </cell>
          <cell r="K26" t="str">
            <v>IRS_Prop_Term60</v>
          </cell>
          <cell r="L26">
            <v>0</v>
          </cell>
          <cell r="M26" t="b">
            <v>1</v>
          </cell>
          <cell r="R26" t="str">
            <v>KRD 40</v>
          </cell>
          <cell r="S26">
            <v>-752.71861229615718</v>
          </cell>
          <cell r="T26">
            <v>-758.65294185432208</v>
          </cell>
          <cell r="U26">
            <v>-5.9343295581649045</v>
          </cell>
        </row>
        <row r="27">
          <cell r="B27" t="str">
            <v>Restrictions</v>
          </cell>
          <cell r="C27">
            <v>0</v>
          </cell>
          <cell r="D27">
            <v>0</v>
          </cell>
          <cell r="E27">
            <v>0</v>
          </cell>
          <cell r="F27" t="str">
            <v>Not Applicable</v>
          </cell>
          <cell r="H27" t="str">
            <v>Granular - NMAP Liab RF</v>
          </cell>
          <cell r="I27">
            <v>756699251.03505635</v>
          </cell>
          <cell r="R27" t="str">
            <v>KRD 50</v>
          </cell>
          <cell r="S27">
            <v>-301.79735273542178</v>
          </cell>
          <cell r="T27">
            <v>-304.55861460434676</v>
          </cell>
          <cell r="U27">
            <v>-2.7612618689249757</v>
          </cell>
        </row>
        <row r="28">
          <cell r="B28" t="str">
            <v>Own Funds</v>
          </cell>
          <cell r="C28">
            <v>1998.0919603961956</v>
          </cell>
          <cell r="D28">
            <v>1969.0847057410829</v>
          </cell>
          <cell r="E28">
            <v>-29.007254655112774</v>
          </cell>
          <cell r="F28" t="str">
            <v>Not Applicable</v>
          </cell>
          <cell r="H28" t="str">
            <v>Difference</v>
          </cell>
          <cell r="I28">
            <v>0</v>
          </cell>
          <cell r="R28" t="str">
            <v>KRD 60</v>
          </cell>
          <cell r="S28">
            <v>-338.06924256574757</v>
          </cell>
          <cell r="T28">
            <v>-336.81476484602007</v>
          </cell>
          <cell r="U28">
            <v>1.2544777197275039</v>
          </cell>
        </row>
        <row r="29">
          <cell r="C29"/>
          <cell r="H29" t="str">
            <v>Check</v>
          </cell>
          <cell r="I29" t="b">
            <v>1</v>
          </cell>
        </row>
        <row r="30">
          <cell r="B30" t="str">
            <v>All balance sheet captured?</v>
          </cell>
          <cell r="C30">
            <v>7.2759576141834259E-12</v>
          </cell>
          <cell r="D30">
            <v>0</v>
          </cell>
          <cell r="H30" t="str">
            <v>Portfolio - NMAP Liab RF+MA</v>
          </cell>
          <cell r="I30">
            <v>756699251.03505683</v>
          </cell>
        </row>
        <row r="31">
          <cell r="B31" t="str">
            <v>Check</v>
          </cell>
          <cell r="C31" t="b">
            <v>1</v>
          </cell>
          <cell r="D31" t="b">
            <v>1</v>
          </cell>
          <cell r="H31" t="str">
            <v>Granular - NMAP Liab RF+MA</v>
          </cell>
          <cell r="I31">
            <v>756699251.03505635</v>
          </cell>
        </row>
        <row r="32">
          <cell r="H32" t="str">
            <v>Difference</v>
          </cell>
          <cell r="I32">
            <v>0</v>
          </cell>
        </row>
        <row r="33">
          <cell r="B33" t="str">
            <v>Other</v>
          </cell>
          <cell r="C33" t="str">
            <v>Input</v>
          </cell>
          <cell r="D33" t="str">
            <v>Output</v>
          </cell>
          <cell r="E33" t="str">
            <v>Δ</v>
          </cell>
          <cell r="F33" t="str">
            <v>Check</v>
          </cell>
          <cell r="H33" t="str">
            <v>Check</v>
          </cell>
          <cell r="I33" t="b">
            <v>1</v>
          </cell>
        </row>
        <row r="34">
          <cell r="B34" t="str">
            <v>SCR</v>
          </cell>
          <cell r="C34">
            <v>1216.0774697671395</v>
          </cell>
          <cell r="D34">
            <v>1205.2068636903914</v>
          </cell>
          <cell r="E34">
            <v>-10.870606076748118</v>
          </cell>
          <cell r="F34" t="str">
            <v>Not Applicable</v>
          </cell>
          <cell r="H34" t="str">
            <v>Portfolio - Derivatives</v>
          </cell>
          <cell r="I34">
            <v>-343398136.60938263</v>
          </cell>
        </row>
        <row r="35">
          <cell r="B35" t="str">
            <v>Sub debt</v>
          </cell>
          <cell r="C35">
            <v>499.17374214</v>
          </cell>
          <cell r="D35">
            <v>495.2158052492511</v>
          </cell>
          <cell r="E35">
            <v>-3.957936890748897</v>
          </cell>
          <cell r="F35" t="str">
            <v>Not Applicable</v>
          </cell>
          <cell r="H35" t="str">
            <v>Granular - Derivatives</v>
          </cell>
          <cell r="I35">
            <v>-343398136.60938931</v>
          </cell>
        </row>
        <row r="36">
          <cell r="B36" t="str">
            <v>Helper items for reconciliation</v>
          </cell>
          <cell r="C36"/>
          <cell r="D36"/>
          <cell r="E36"/>
          <cell r="F36"/>
          <cell r="H36" t="str">
            <v>Difference</v>
          </cell>
          <cell r="I36">
            <v>-6.67572021484375E-6</v>
          </cell>
        </row>
        <row r="37">
          <cell r="B37" t="str">
            <v>Repo value</v>
          </cell>
          <cell r="C37">
            <v>-3476.7990977799996</v>
          </cell>
          <cell r="D37">
            <v>-3137.5798311120088</v>
          </cell>
          <cell r="E37">
            <v>339.21926666799072</v>
          </cell>
          <cell r="F37"/>
          <cell r="H37" t="str">
            <v>Check</v>
          </cell>
          <cell r="I37" t="b">
            <v>1</v>
          </cell>
        </row>
        <row r="39">
          <cell r="H39" t="str">
            <v>LTMs from MACalc</v>
          </cell>
          <cell r="I39">
            <v>5302163786.3497601</v>
          </cell>
        </row>
        <row r="40">
          <cell r="H40" t="str">
            <v>LTMs from Flash</v>
          </cell>
          <cell r="I40">
            <v>0</v>
          </cell>
        </row>
        <row r="41">
          <cell r="H41" t="str">
            <v>Difference</v>
          </cell>
          <cell r="I41">
            <v>-5302163786.3497601</v>
          </cell>
        </row>
      </sheetData>
      <sheetData sheetId="22"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Key"/>
      <sheetName val="EUC Coversheet"/>
      <sheetName val="I. Control"/>
      <sheetName val="I.C.O. Group &amp; Entity SCR"/>
      <sheetName val="JRL Tax"/>
      <sheetName val="Group Tax"/>
      <sheetName val="C.Non modelled assets"/>
      <sheetName val="vs WD10"/>
      <sheetName val="Checks"/>
      <sheetName val="Previous Periods &gt;&gt;"/>
      <sheetName val="Previous Quarter"/>
    </sheetNames>
    <sheetDataSet>
      <sheetData sheetId="0"/>
      <sheetData sheetId="1"/>
      <sheetData sheetId="2"/>
      <sheetData sheetId="3">
        <row r="9">
          <cell r="F9">
            <v>1675965374.4119554</v>
          </cell>
        </row>
        <row r="24">
          <cell r="F24">
            <v>-0.25</v>
          </cell>
        </row>
      </sheetData>
      <sheetData sheetId="4"/>
      <sheetData sheetId="5">
        <row r="4">
          <cell r="F4">
            <v>-0.25</v>
          </cell>
        </row>
      </sheetData>
      <sheetData sheetId="6"/>
      <sheetData sheetId="7"/>
      <sheetData sheetId="8"/>
      <sheetData sheetId="9"/>
      <sheetData sheetId="10"/>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Key"/>
      <sheetName val="EUC Coversheet"/>
      <sheetName val="I. Control"/>
      <sheetName val="I.C.O. Group &amp; Entity SCR"/>
      <sheetName val="JRL Tax"/>
      <sheetName val="Group Tax"/>
      <sheetName val="C.Non modelled assets"/>
      <sheetName val="vs WD10"/>
      <sheetName val="Checks"/>
      <sheetName val="Previous Periods &gt;&gt;"/>
      <sheetName val="Previous Quarter"/>
      <sheetName val="202606_EUC_v1.00_Group _SCR_v6"/>
    </sheetNames>
    <sheetDataSet>
      <sheetData sheetId="0"/>
      <sheetData sheetId="1"/>
      <sheetData sheetId="2"/>
      <sheetData sheetId="3"/>
      <sheetData sheetId="4">
        <row r="16">
          <cell r="B16">
            <v>0.24</v>
          </cell>
        </row>
      </sheetData>
      <sheetData sheetId="5">
        <row r="7">
          <cell r="F7">
            <v>-0.2130475308156744</v>
          </cell>
        </row>
      </sheetData>
      <sheetData sheetId="6"/>
      <sheetData sheetId="7"/>
      <sheetData sheetId="8"/>
      <sheetData sheetId="9"/>
      <sheetData sheetId="10"/>
      <sheetData sheetId="11"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relativeUrl r:id="rId3"/>
    </xxl21:alternateUrls>
    <sheetNames>
      <sheetName val="Instruct"/>
      <sheetName val="EUC Coversheet"/>
      <sheetName val="Key"/>
      <sheetName val="P. Parameter"/>
      <sheetName val="O. Checks"/>
      <sheetName val="I. Control"/>
      <sheetName val="Status"/>
      <sheetName val="mdStorage"/>
      <sheetName val="31_7-26 Oracle "/>
      <sheetName val="Oracle"/>
      <sheetName val="BEL"/>
      <sheetName val="BalanceSheet"/>
      <sheetName val="Repos"/>
      <sheetName val="SII"/>
      <sheetName val="JRL TBB"/>
      <sheetName val="PLACL TBB"/>
      <sheetName val="Group TBB"/>
      <sheetName val="Blumont TBB"/>
      <sheetName val="MAP"/>
      <sheetName val="OF"/>
      <sheetName val="PCE"/>
      <sheetName val="BWS Fees"/>
      <sheetName val="ReinFixLegClaims"/>
      <sheetName val="REC"/>
      <sheetName val="MVMT"/>
      <sheetName val="Prepayts"/>
      <sheetName val="b"/>
      <sheetName val="Rein"/>
      <sheetName val="PLACL MAP NMAP"/>
      <sheetName val="CIC"/>
      <sheetName val="Subdebt"/>
      <sheetName val="D TAX"/>
      <sheetName val="Intangibles"/>
      <sheetName val="Mortg"/>
      <sheetName val="BEL Tfrs"/>
      <sheetName val="FTA"/>
      <sheetName val="ERM Backing Ratio"/>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ow r="9">
          <cell r="F9">
            <v>375.92868944999998</v>
          </cell>
        </row>
        <row r="72">
          <cell r="N72">
            <v>-293.71068486198152</v>
          </cell>
        </row>
      </sheetData>
      <sheetData sheetId="15" refreshError="1"/>
      <sheetData sheetId="16" refreshError="1"/>
      <sheetData sheetId="17" refreshError="1"/>
      <sheetData sheetId="18" refreshError="1"/>
      <sheetData sheetId="19">
        <row r="32">
          <cell r="C32">
            <v>0</v>
          </cell>
        </row>
        <row r="33">
          <cell r="C33">
            <v>1922218828.1259563</v>
          </cell>
        </row>
        <row r="45">
          <cell r="C45">
            <v>1244944320.791683</v>
          </cell>
        </row>
        <row r="60">
          <cell r="C60">
            <v>1095968675.3979378</v>
          </cell>
        </row>
        <row r="63">
          <cell r="C63">
            <v>250000000</v>
          </cell>
        </row>
        <row r="72">
          <cell r="C72">
            <v>494032148.15000004</v>
          </cell>
        </row>
        <row r="83">
          <cell r="C83">
            <v>-0.01</v>
          </cell>
        </row>
      </sheetData>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relativeUrl r:id="rId3"/>
    </xxl21:alternateUrls>
    <sheetNames>
      <sheetName val="Version &amp; Purpose"/>
      <sheetName val="I. Other Inputs"/>
      <sheetName val="I. Other Sources"/>
      <sheetName val="I. OF (excl. RM and TMTP)"/>
      <sheetName val="I. Stress"/>
      <sheetName val="I. Input Balance Sheet"/>
      <sheetName val="I. Inflation"/>
      <sheetName val="I. Placeholder (160%)"/>
      <sheetName val="I. Placeholder"/>
      <sheetName val="O. Output"/>
      <sheetName val="Checks"/>
      <sheetName val="O. Summary"/>
      <sheetName val="O. Summary (PreRestriction)"/>
    </sheetNames>
    <sheetDataSet>
      <sheetData sheetId="0" refreshError="1"/>
      <sheetData sheetId="1">
        <row r="33">
          <cell r="C33">
            <v>0.24</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Set>
  </externalBook>
</externalLink>
</file>

<file path=xl/persons/person.xml><?xml version="1.0" encoding="utf-8"?>
<personList xmlns="http://schemas.microsoft.com/office/spreadsheetml/2018/threadedcomments" xmlns:x="http://schemas.openxmlformats.org/spreadsheetml/2006/main">
  <person displayName="Vijal Patel" id="{B1FACF7D-4666-470B-BD69-317367602EDF}" userId="S::Vijal.Patel@WeAreJust.co.uk::5202abf8-bdb3-4d04-83cc-64149062c5ab"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E7B1ECD-0C39-460A-9644-DCB78D854788}" name="tbl_Version" displayName="tbl_Version" ref="B6:F9" totalsRowShown="0" headerRowDxfId="2">
  <tableColumns count="5">
    <tableColumn id="1" xr3:uid="{B8AE64E7-2D95-4455-ABFE-1F1068B25E5B}" name="Version Number" dataDxfId="1"/>
    <tableColumn id="2" xr3:uid="{69741A16-5DFA-4FAA-A942-AABC905EF456}" name="Description/Reason for Change"/>
    <tableColumn id="3" xr3:uid="{5BA5FF9D-6807-47DB-BC2F-1CD8EA5789A3}" name="Date of Change" dataDxfId="0"/>
    <tableColumn id="4" xr3:uid="{778F8475-BF03-4C0F-90A9-51C36949DC58}" name="Requested by"/>
    <tableColumn id="5" xr3:uid="{3035906C-AC23-40C7-98C8-914E4578AA44}" name="Approved by"/>
  </tableColumns>
  <tableStyleInfo name="Calculation" showFirstColumn="0" showLastColumn="0" showRowStripes="1" showColumnStripes="0"/>
</table>
</file>

<file path=xl/theme/theme1.xml><?xml version="1.0" encoding="utf-8"?>
<a:theme xmlns:a="http://schemas.openxmlformats.org/drawingml/2006/main" name="Just">
  <a:themeElements>
    <a:clrScheme name="JUST">
      <a:dk1>
        <a:srgbClr val="373433"/>
      </a:dk1>
      <a:lt1>
        <a:sysClr val="window" lastClr="FFFFFF"/>
      </a:lt1>
      <a:dk2>
        <a:srgbClr val="373433"/>
      </a:dk2>
      <a:lt2>
        <a:srgbClr val="E7E6E6"/>
      </a:lt2>
      <a:accent1>
        <a:srgbClr val="FF7D7D"/>
      </a:accent1>
      <a:accent2>
        <a:srgbClr val="2FCFA0"/>
      </a:accent2>
      <a:accent3>
        <a:srgbClr val="FFE063"/>
      </a:accent3>
      <a:accent4>
        <a:srgbClr val="FF9C54"/>
      </a:accent4>
      <a:accent5>
        <a:srgbClr val="21C7EB"/>
      </a:accent5>
      <a:accent6>
        <a:srgbClr val="C489DC"/>
      </a:accent6>
      <a:hlink>
        <a:srgbClr val="0563C1"/>
      </a:hlink>
      <a:folHlink>
        <a:srgbClr val="954F72"/>
      </a:folHlink>
    </a:clrScheme>
    <a:fontScheme name="JUST">
      <a:majorFont>
        <a:latin typeface="Just Script"/>
        <a:ea typeface=""/>
        <a:cs typeface=""/>
      </a:majorFont>
      <a:minorFont>
        <a:latin typeface="Just Sans"/>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C44" dT="2026-05-11T12:47:56.22" personId="{B1FACF7D-4666-470B-BD69-317367602EDF}" id="{D3773962-B037-437B-ABE9-229959647011}">
    <text>Should exclude all derivative instruments where modelled separately</text>
  </threadedComment>
  <threadedComment ref="C45" dT="2026-05-11T12:47:56.22" personId="{B1FACF7D-4666-470B-BD69-317367602EDF}" id="{93A21484-AD74-46D7-909B-F072CEB6147B}">
    <text>Should exclude all derivative instruments where modelled separately</text>
  </threadedComment>
</ThreadedComments>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hyperlink" Target="Bonds%20Lite%20output/20261028_181415" TargetMode="External"/><Relationship Id="rId7" Type="http://schemas.openxmlformats.org/officeDocument/2006/relationships/ctrlProp" Target="../ctrlProps/ctrlProp1.xml"/><Relationship Id="rId2" Type="http://schemas.openxmlformats.org/officeDocument/2006/relationships/hyperlink" Target="Bonds%20Lite%20output/20261028_181415" TargetMode="External"/><Relationship Id="rId1" Type="http://schemas.openxmlformats.org/officeDocument/2006/relationships/hyperlink" Target="Bonds%20Lite%20output/20261028_181415" TargetMode="External"/><Relationship Id="rId6" Type="http://schemas.openxmlformats.org/officeDocument/2006/relationships/vmlDrawing" Target="../drawings/vmlDrawing1.vml"/><Relationship Id="rId5" Type="http://schemas.openxmlformats.org/officeDocument/2006/relationships/drawing" Target="../drawings/drawing1.xml"/><Relationship Id="rId10" Type="http://schemas.microsoft.com/office/2017/10/relationships/threadedComment" Target="../threadedComments/threadedComment1.xml"/><Relationship Id="rId4" Type="http://schemas.openxmlformats.org/officeDocument/2006/relationships/hyperlink" Target="Bonds%20Lite%20output/20261028_181415" TargetMode="External"/><Relationship Id="rId9" Type="http://schemas.openxmlformats.org/officeDocument/2006/relationships/comments" Target="../comments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8B5457-A76B-4DA6-926A-7485DB980DFA}">
  <sheetPr codeName="Sheet1">
    <tabColor theme="4"/>
  </sheetPr>
  <dimension ref="B2:R66"/>
  <sheetViews>
    <sheetView showGridLines="0" zoomScaleNormal="100" workbookViewId="0">
      <selection activeCell="Q12" sqref="Q12"/>
    </sheetView>
  </sheetViews>
  <sheetFormatPr defaultColWidth="9.23046875" defaultRowHeight="12" x14ac:dyDescent="0.3"/>
  <cols>
    <col min="1" max="1" width="1.84375" style="2" customWidth="1"/>
    <col min="2" max="2" width="12.3828125" style="2" customWidth="1"/>
    <col min="3" max="3" width="30.15234375" style="2" customWidth="1"/>
    <col min="4" max="4" width="10.4609375" style="2" bestFit="1" customWidth="1"/>
    <col min="5" max="5" width="9.15234375" style="2" bestFit="1" customWidth="1"/>
    <col min="6" max="6" width="8.4609375" style="2" bestFit="1" customWidth="1"/>
    <col min="7" max="7" width="2.15234375" style="2" customWidth="1"/>
    <col min="8" max="8" width="15.765625" style="2" bestFit="1" customWidth="1"/>
    <col min="9" max="9" width="79.15234375" style="2" bestFit="1" customWidth="1"/>
    <col min="10" max="10" width="2.15234375" style="2" customWidth="1"/>
    <col min="11" max="11" width="14.765625" style="2" customWidth="1"/>
    <col min="12" max="12" width="7.765625" style="2" customWidth="1"/>
    <col min="13" max="13" width="65.15234375" style="2" customWidth="1"/>
    <col min="14" max="14" width="16.15234375" style="2" bestFit="1" customWidth="1"/>
    <col min="15" max="15" width="2.15234375" style="2" customWidth="1"/>
    <col min="16" max="17" width="7.61328125" style="2" customWidth="1"/>
    <col min="18" max="18" width="22.4609375" style="2" customWidth="1"/>
    <col min="19" max="16384" width="9.23046875" style="2"/>
  </cols>
  <sheetData>
    <row r="2" spans="2:18" ht="19" x14ac:dyDescent="0.3">
      <c r="B2" s="1" t="s">
        <v>0</v>
      </c>
      <c r="C2" s="1"/>
      <c r="D2" s="1"/>
      <c r="E2" s="1"/>
      <c r="F2" s="1"/>
      <c r="H2" s="1" t="s">
        <v>1</v>
      </c>
      <c r="I2" s="1"/>
      <c r="K2" s="1" t="s">
        <v>2</v>
      </c>
      <c r="L2" s="1"/>
      <c r="M2" s="1"/>
      <c r="N2" s="1"/>
      <c r="P2" s="1" t="s">
        <v>3</v>
      </c>
      <c r="Q2" s="1"/>
      <c r="R2" s="1"/>
    </row>
    <row r="4" spans="2:18" x14ac:dyDescent="0.3">
      <c r="B4" s="3" t="s">
        <v>4</v>
      </c>
      <c r="C4" s="4" t="s">
        <v>5</v>
      </c>
      <c r="E4" s="5"/>
      <c r="F4" s="5"/>
      <c r="G4" s="5"/>
      <c r="H4" s="6" t="s">
        <v>6</v>
      </c>
      <c r="I4" s="6"/>
      <c r="J4" s="5"/>
      <c r="K4" s="6" t="s">
        <v>7</v>
      </c>
      <c r="L4" s="6"/>
      <c r="M4" s="6"/>
      <c r="N4" s="6"/>
      <c r="O4" s="5"/>
      <c r="P4" s="6" t="s">
        <v>8</v>
      </c>
      <c r="Q4" s="6"/>
      <c r="R4" s="6"/>
    </row>
    <row r="5" spans="2:18" x14ac:dyDescent="0.3">
      <c r="G5" s="5"/>
      <c r="H5" s="7" t="s">
        <v>9</v>
      </c>
      <c r="J5" s="5"/>
      <c r="O5" s="5"/>
    </row>
    <row r="6" spans="2:18" x14ac:dyDescent="0.3">
      <c r="B6" s="3" t="s">
        <v>10</v>
      </c>
      <c r="C6" s="3" t="s">
        <v>11</v>
      </c>
      <c r="D6" s="3" t="s">
        <v>12</v>
      </c>
      <c r="E6" s="3" t="s">
        <v>13</v>
      </c>
      <c r="F6" s="3" t="s">
        <v>14</v>
      </c>
      <c r="G6" s="5"/>
      <c r="H6" s="7"/>
      <c r="J6" s="5"/>
      <c r="L6" s="3" t="s">
        <v>15</v>
      </c>
      <c r="M6" s="3" t="s">
        <v>16</v>
      </c>
      <c r="N6" s="3" t="s">
        <v>17</v>
      </c>
      <c r="O6" s="5"/>
      <c r="P6" s="3" t="s">
        <v>18</v>
      </c>
      <c r="Q6" s="3"/>
      <c r="R6" s="3" t="s">
        <v>19</v>
      </c>
    </row>
    <row r="7" spans="2:18" ht="14.5" x14ac:dyDescent="0.35">
      <c r="B7" s="8">
        <v>1</v>
      </c>
      <c r="C7" s="5"/>
      <c r="D7" s="9"/>
      <c r="E7" s="5"/>
      <c r="F7" s="5"/>
      <c r="G7" s="57"/>
      <c r="H7" s="10" t="s">
        <v>20</v>
      </c>
      <c r="I7" s="10"/>
      <c r="J7" s="5"/>
      <c r="K7" s="11" t="s">
        <v>21</v>
      </c>
      <c r="L7" s="12" t="s">
        <v>22</v>
      </c>
      <c r="M7" s="13" t="s">
        <v>23</v>
      </c>
      <c r="N7" s="12"/>
      <c r="O7" s="5"/>
      <c r="P7" s="14"/>
      <c r="Q7" s="15"/>
      <c r="R7" s="11" t="s">
        <v>24</v>
      </c>
    </row>
    <row r="8" spans="2:18" x14ac:dyDescent="0.3">
      <c r="B8" s="16">
        <v>1.01</v>
      </c>
      <c r="D8" s="17"/>
      <c r="E8" s="5"/>
      <c r="F8" s="5"/>
      <c r="G8" s="57"/>
      <c r="H8" s="18" t="s">
        <v>25</v>
      </c>
      <c r="I8" s="56" t="str" cm="1">
        <f t="array" aca="1" ref="I8" ca="1" xml:space="preserve"> INDIRECT("'"&amp;H8&amp;"'!b3")</f>
        <v>This sheet is used to store parameters that are not typically updated by the user.</v>
      </c>
      <c r="J8" s="5"/>
      <c r="K8" s="11" t="s">
        <v>26</v>
      </c>
      <c r="L8" s="12" t="s">
        <v>22</v>
      </c>
      <c r="M8" s="13" t="s">
        <v>27</v>
      </c>
      <c r="N8" s="12"/>
      <c r="O8" s="5"/>
      <c r="P8" s="20"/>
      <c r="Q8" s="21"/>
      <c r="R8" s="11" t="s">
        <v>28</v>
      </c>
    </row>
    <row r="9" spans="2:18" ht="14.5" x14ac:dyDescent="0.35">
      <c r="B9" s="16">
        <v>1.02</v>
      </c>
      <c r="D9" s="17"/>
      <c r="E9" s="5"/>
      <c r="F9" s="5"/>
      <c r="G9" s="57"/>
      <c r="H9" s="22" t="s">
        <v>29</v>
      </c>
      <c r="I9" s="56" t="s">
        <v>30</v>
      </c>
      <c r="J9" s="5"/>
      <c r="K9" s="11" t="s">
        <v>31</v>
      </c>
      <c r="L9" s="12" t="s">
        <v>32</v>
      </c>
      <c r="M9" s="13" t="s">
        <v>33</v>
      </c>
      <c r="N9" s="12"/>
      <c r="O9" s="5"/>
      <c r="P9" s="23"/>
      <c r="Q9" s="24"/>
      <c r="R9" s="11" t="s">
        <v>34</v>
      </c>
    </row>
    <row r="10" spans="2:18" x14ac:dyDescent="0.3">
      <c r="E10" s="5"/>
      <c r="F10" s="5"/>
      <c r="G10" s="57"/>
      <c r="H10" s="22" t="s">
        <v>35</v>
      </c>
      <c r="I10" s="56" t="s">
        <v>36</v>
      </c>
      <c r="J10" s="5"/>
      <c r="K10" s="11" t="s">
        <v>37</v>
      </c>
      <c r="L10" s="12" t="s">
        <v>32</v>
      </c>
      <c r="M10" s="13"/>
      <c r="N10" s="12"/>
      <c r="O10" s="5"/>
      <c r="P10" s="25"/>
      <c r="Q10" s="26"/>
      <c r="R10" s="11" t="s">
        <v>38</v>
      </c>
    </row>
    <row r="11" spans="2:18" ht="14.5" x14ac:dyDescent="0.35">
      <c r="E11" s="5"/>
      <c r="F11" s="5"/>
      <c r="G11" s="57"/>
      <c r="H11" s="22" t="s">
        <v>39</v>
      </c>
      <c r="I11" s="56" t="s">
        <v>40</v>
      </c>
      <c r="J11" s="5"/>
      <c r="K11" s="11" t="s">
        <v>41</v>
      </c>
      <c r="L11" s="12" t="s">
        <v>32</v>
      </c>
      <c r="M11" s="13"/>
      <c r="N11" s="12"/>
      <c r="O11" s="5"/>
      <c r="P11" s="27"/>
      <c r="Q11" s="28"/>
      <c r="R11" s="11" t="s">
        <v>42</v>
      </c>
    </row>
    <row r="12" spans="2:18" x14ac:dyDescent="0.3">
      <c r="E12" s="5"/>
      <c r="F12" s="5"/>
      <c r="G12" s="57"/>
      <c r="H12" s="22" t="s">
        <v>43</v>
      </c>
      <c r="I12" s="56" t="s">
        <v>44</v>
      </c>
      <c r="J12" s="5"/>
      <c r="L12" s="5"/>
      <c r="M12" s="5"/>
      <c r="N12" s="5"/>
      <c r="O12" s="5"/>
      <c r="P12" s="29"/>
      <c r="Q12" s="30"/>
      <c r="R12" s="11" t="s">
        <v>45</v>
      </c>
    </row>
    <row r="13" spans="2:18" ht="14.5" x14ac:dyDescent="0.35">
      <c r="E13" s="5"/>
      <c r="F13" s="5"/>
      <c r="G13" s="57"/>
      <c r="H13" s="22" t="s">
        <v>46</v>
      </c>
      <c r="I13" s="56" t="s">
        <v>47</v>
      </c>
      <c r="J13" s="5"/>
      <c r="K13" s="6" t="s">
        <v>48</v>
      </c>
      <c r="L13" s="6"/>
      <c r="M13" s="6"/>
      <c r="N13" s="6"/>
      <c r="O13" s="5"/>
      <c r="P13" s="31"/>
      <c r="Q13" s="32"/>
      <c r="R13" s="11" t="s">
        <v>49</v>
      </c>
    </row>
    <row r="14" spans="2:18" ht="14.5" x14ac:dyDescent="0.35">
      <c r="E14" s="5"/>
      <c r="F14" s="5"/>
      <c r="G14" s="57"/>
      <c r="H14" s="22" t="s">
        <v>50</v>
      </c>
      <c r="I14" s="56" t="s">
        <v>51</v>
      </c>
      <c r="J14" s="5"/>
      <c r="M14" s="5"/>
      <c r="N14" s="5"/>
      <c r="O14" s="5"/>
      <c r="P14" s="33"/>
      <c r="Q14" s="34"/>
      <c r="R14" s="11" t="s">
        <v>52</v>
      </c>
    </row>
    <row r="15" spans="2:18" x14ac:dyDescent="0.3">
      <c r="E15" s="5"/>
      <c r="F15" s="5"/>
      <c r="G15" s="57"/>
      <c r="H15" s="22" t="s">
        <v>53</v>
      </c>
      <c r="I15" s="56" t="s">
        <v>54</v>
      </c>
      <c r="J15" s="5"/>
      <c r="L15" s="3" t="s">
        <v>15</v>
      </c>
      <c r="M15" s="3" t="s">
        <v>16</v>
      </c>
      <c r="N15" s="3" t="s">
        <v>17</v>
      </c>
      <c r="O15" s="5"/>
      <c r="P15" s="35" t="b">
        <v>1</v>
      </c>
      <c r="Q15" s="36" t="b">
        <v>0</v>
      </c>
      <c r="R15" s="11" t="s">
        <v>55</v>
      </c>
    </row>
    <row r="16" spans="2:18" x14ac:dyDescent="0.3">
      <c r="E16" s="5"/>
      <c r="F16" s="5"/>
      <c r="G16" s="57"/>
      <c r="H16" s="37" t="s">
        <v>56</v>
      </c>
      <c r="I16" s="56" t="s">
        <v>57</v>
      </c>
      <c r="J16" s="5"/>
      <c r="K16" s="11" t="s">
        <v>58</v>
      </c>
      <c r="L16" s="12" t="s">
        <v>59</v>
      </c>
      <c r="M16" s="13" t="s">
        <v>60</v>
      </c>
      <c r="N16" s="12"/>
      <c r="O16" s="5"/>
      <c r="P16" s="38"/>
      <c r="Q16" s="19"/>
      <c r="R16" s="11"/>
    </row>
    <row r="17" spans="5:18" x14ac:dyDescent="0.3">
      <c r="E17" s="5"/>
      <c r="F17" s="5"/>
      <c r="G17" s="57"/>
      <c r="H17" s="37" t="s">
        <v>61</v>
      </c>
      <c r="I17" s="56" t="s">
        <v>62</v>
      </c>
      <c r="J17" s="5"/>
      <c r="K17" s="11" t="s">
        <v>63</v>
      </c>
      <c r="L17" s="12" t="s">
        <v>59</v>
      </c>
      <c r="M17" s="13" t="s">
        <v>64</v>
      </c>
      <c r="N17" s="12"/>
      <c r="O17" s="5"/>
      <c r="P17" s="38"/>
      <c r="Q17" s="19"/>
      <c r="R17" s="11"/>
    </row>
    <row r="18" spans="5:18" x14ac:dyDescent="0.3">
      <c r="E18" s="5"/>
      <c r="F18" s="5"/>
      <c r="G18" s="57"/>
      <c r="H18" s="37" t="s">
        <v>65</v>
      </c>
      <c r="I18" s="56" t="s">
        <v>66</v>
      </c>
      <c r="J18" s="5"/>
      <c r="K18" s="11" t="s">
        <v>67</v>
      </c>
      <c r="L18" s="12" t="s">
        <v>68</v>
      </c>
      <c r="M18" s="13" t="s">
        <v>69</v>
      </c>
      <c r="N18" s="12"/>
      <c r="O18" s="5"/>
      <c r="P18" s="38"/>
      <c r="Q18" s="19"/>
      <c r="R18" s="11"/>
    </row>
    <row r="19" spans="5:18" x14ac:dyDescent="0.3">
      <c r="E19" s="5"/>
      <c r="F19" s="5"/>
      <c r="G19" s="57"/>
      <c r="H19" s="37" t="s">
        <v>70</v>
      </c>
      <c r="I19" s="56" t="s">
        <v>71</v>
      </c>
      <c r="J19" s="5"/>
      <c r="K19" s="11" t="s">
        <v>72</v>
      </c>
      <c r="L19" s="12" t="s">
        <v>68</v>
      </c>
      <c r="M19" s="13" t="s">
        <v>73</v>
      </c>
      <c r="N19" s="12"/>
      <c r="O19" s="5"/>
      <c r="P19" s="38"/>
      <c r="Q19" s="19"/>
      <c r="R19" s="11"/>
    </row>
    <row r="20" spans="5:18" x14ac:dyDescent="0.3">
      <c r="E20" s="5"/>
      <c r="F20" s="5"/>
      <c r="G20" s="57"/>
      <c r="H20" s="37" t="s">
        <v>74</v>
      </c>
      <c r="I20" s="56" t="s">
        <v>71</v>
      </c>
      <c r="J20" s="5"/>
      <c r="K20" s="11" t="s">
        <v>48</v>
      </c>
      <c r="L20" s="12" t="s">
        <v>75</v>
      </c>
      <c r="M20" s="13" t="s">
        <v>76</v>
      </c>
      <c r="N20" s="11"/>
      <c r="O20" s="5"/>
      <c r="P20" s="38"/>
      <c r="Q20" s="19"/>
      <c r="R20" s="11"/>
    </row>
    <row r="21" spans="5:18" x14ac:dyDescent="0.3">
      <c r="E21" s="5"/>
      <c r="F21" s="5"/>
      <c r="G21" s="57"/>
      <c r="H21" s="37" t="s">
        <v>77</v>
      </c>
      <c r="I21" s="56" t="s">
        <v>71</v>
      </c>
      <c r="J21" s="5"/>
      <c r="M21" s="5"/>
      <c r="N21" s="5"/>
      <c r="O21" s="5"/>
    </row>
    <row r="22" spans="5:18" x14ac:dyDescent="0.3">
      <c r="G22" s="57"/>
      <c r="H22" s="37" t="s">
        <v>78</v>
      </c>
      <c r="I22" s="56" t="s">
        <v>71</v>
      </c>
      <c r="J22" s="5"/>
      <c r="K22" s="6" t="s">
        <v>79</v>
      </c>
      <c r="L22" s="6"/>
      <c r="M22" s="6"/>
      <c r="N22" s="6"/>
      <c r="O22" s="5"/>
      <c r="P22" s="6" t="s">
        <v>80</v>
      </c>
      <c r="Q22" s="6"/>
      <c r="R22" s="6"/>
    </row>
    <row r="23" spans="5:18" x14ac:dyDescent="0.3">
      <c r="G23" s="57"/>
      <c r="H23" s="37" t="s">
        <v>81</v>
      </c>
      <c r="I23" s="56" t="s">
        <v>82</v>
      </c>
      <c r="J23" s="5"/>
      <c r="M23" s="5"/>
      <c r="N23" s="5"/>
      <c r="O23" s="5"/>
    </row>
    <row r="24" spans="5:18" x14ac:dyDescent="0.3">
      <c r="G24" s="57"/>
      <c r="H24" s="39" t="s">
        <v>83</v>
      </c>
      <c r="I24" s="56" t="s">
        <v>84</v>
      </c>
      <c r="J24" s="5"/>
      <c r="L24" s="3" t="s">
        <v>15</v>
      </c>
      <c r="M24" s="3" t="s">
        <v>16</v>
      </c>
      <c r="N24" s="3" t="s">
        <v>85</v>
      </c>
      <c r="O24" s="5"/>
      <c r="P24" s="3" t="s">
        <v>86</v>
      </c>
      <c r="Q24" s="3"/>
      <c r="R24" s="3" t="s">
        <v>19</v>
      </c>
    </row>
    <row r="25" spans="5:18" x14ac:dyDescent="0.3">
      <c r="G25" s="57"/>
      <c r="H25" s="40" t="s">
        <v>87</v>
      </c>
      <c r="I25" s="56" t="s">
        <v>88</v>
      </c>
      <c r="J25" s="5"/>
      <c r="K25" s="11" t="s">
        <v>89</v>
      </c>
      <c r="L25" s="12" t="s">
        <v>22</v>
      </c>
      <c r="M25" s="13" t="s">
        <v>90</v>
      </c>
      <c r="N25" s="12"/>
      <c r="O25" s="5"/>
      <c r="P25" s="38" t="s">
        <v>91</v>
      </c>
      <c r="Q25" s="19"/>
      <c r="R25" s="11" t="s">
        <v>92</v>
      </c>
    </row>
    <row r="26" spans="5:18" x14ac:dyDescent="0.3">
      <c r="G26" s="57"/>
      <c r="H26" s="40" t="s">
        <v>93</v>
      </c>
      <c r="I26" s="56" t="s">
        <v>94</v>
      </c>
      <c r="J26" s="5"/>
      <c r="K26" s="41" t="s">
        <v>95</v>
      </c>
      <c r="L26" s="42" t="s">
        <v>96</v>
      </c>
      <c r="M26" s="43" t="s">
        <v>97</v>
      </c>
      <c r="N26" s="42"/>
      <c r="O26" s="5"/>
      <c r="P26" s="38" t="s">
        <v>98</v>
      </c>
      <c r="Q26" s="19"/>
      <c r="R26" s="11" t="s">
        <v>99</v>
      </c>
    </row>
    <row r="27" spans="5:18" x14ac:dyDescent="0.3">
      <c r="G27" s="57"/>
      <c r="H27" s="40" t="s">
        <v>100</v>
      </c>
      <c r="I27" s="56" t="s">
        <v>101</v>
      </c>
      <c r="J27" s="5"/>
      <c r="K27" s="44"/>
      <c r="L27" s="45"/>
      <c r="M27" s="46" t="s">
        <v>102</v>
      </c>
      <c r="N27" s="45"/>
      <c r="O27" s="5"/>
      <c r="P27" s="38" t="s">
        <v>103</v>
      </c>
      <c r="Q27" s="19"/>
      <c r="R27" s="11" t="s">
        <v>104</v>
      </c>
    </row>
    <row r="28" spans="5:18" x14ac:dyDescent="0.3">
      <c r="G28" s="57"/>
      <c r="H28" s="40" t="s">
        <v>105</v>
      </c>
      <c r="I28" s="56" t="s">
        <v>106</v>
      </c>
      <c r="J28" s="5"/>
      <c r="K28" s="41" t="s">
        <v>107</v>
      </c>
      <c r="L28" s="42" t="s">
        <v>108</v>
      </c>
      <c r="M28" s="43" t="s">
        <v>109</v>
      </c>
      <c r="N28" s="42"/>
      <c r="O28" s="5"/>
      <c r="P28" s="38" t="s">
        <v>110</v>
      </c>
      <c r="Q28" s="19"/>
      <c r="R28" s="11" t="s">
        <v>111</v>
      </c>
    </row>
    <row r="29" spans="5:18" x14ac:dyDescent="0.3">
      <c r="G29" s="5"/>
      <c r="J29" s="5"/>
      <c r="K29" s="44"/>
      <c r="L29" s="45"/>
      <c r="M29" s="47" t="s">
        <v>112</v>
      </c>
      <c r="N29" s="45"/>
      <c r="O29" s="5"/>
      <c r="P29" s="38" t="s">
        <v>113</v>
      </c>
      <c r="Q29" s="19"/>
      <c r="R29" s="11" t="s">
        <v>114</v>
      </c>
    </row>
    <row r="30" spans="5:18" x14ac:dyDescent="0.3">
      <c r="G30" s="5"/>
      <c r="H30" s="6" t="s">
        <v>115</v>
      </c>
      <c r="I30" s="6"/>
      <c r="J30" s="5"/>
      <c r="K30" s="41" t="s">
        <v>116</v>
      </c>
      <c r="L30" s="42" t="s">
        <v>117</v>
      </c>
      <c r="M30" s="48" t="s">
        <v>118</v>
      </c>
      <c r="N30" s="42"/>
      <c r="O30" s="5"/>
    </row>
    <row r="31" spans="5:18" x14ac:dyDescent="0.3">
      <c r="G31" s="5"/>
      <c r="J31" s="5"/>
      <c r="K31" s="49"/>
      <c r="L31" s="50"/>
      <c r="M31" s="51" t="s">
        <v>119</v>
      </c>
      <c r="N31" s="50"/>
      <c r="O31" s="5"/>
    </row>
    <row r="32" spans="5:18" x14ac:dyDescent="0.3">
      <c r="G32" s="5"/>
      <c r="H32" s="52">
        <v>1</v>
      </c>
      <c r="J32" s="5"/>
      <c r="K32" s="49"/>
      <c r="L32" s="50"/>
      <c r="M32" s="51" t="s">
        <v>120</v>
      </c>
      <c r="N32" s="50"/>
      <c r="O32" s="5"/>
    </row>
    <row r="33" spans="7:15" x14ac:dyDescent="0.3">
      <c r="G33" s="5"/>
      <c r="H33" s="52">
        <v>2</v>
      </c>
      <c r="I33" s="5"/>
      <c r="J33" s="5"/>
      <c r="K33" s="44"/>
      <c r="L33" s="45"/>
      <c r="M33" s="47" t="s">
        <v>121</v>
      </c>
      <c r="N33" s="45"/>
      <c r="O33" s="5"/>
    </row>
    <row r="34" spans="7:15" x14ac:dyDescent="0.3">
      <c r="G34" s="5"/>
      <c r="H34" s="52">
        <v>3</v>
      </c>
      <c r="I34" s="5"/>
      <c r="J34" s="5"/>
      <c r="K34" s="41" t="s">
        <v>122</v>
      </c>
      <c r="L34" s="42" t="s">
        <v>108</v>
      </c>
      <c r="M34" s="43" t="s">
        <v>123</v>
      </c>
      <c r="N34" s="42"/>
      <c r="O34" s="5"/>
    </row>
    <row r="35" spans="7:15" x14ac:dyDescent="0.3">
      <c r="H35" s="53">
        <v>4</v>
      </c>
      <c r="I35" s="5"/>
      <c r="K35" s="49"/>
      <c r="L35" s="50"/>
      <c r="M35" s="54" t="s">
        <v>124</v>
      </c>
      <c r="N35" s="50"/>
    </row>
    <row r="36" spans="7:15" x14ac:dyDescent="0.3">
      <c r="K36" s="49"/>
      <c r="L36" s="50"/>
      <c r="M36" s="54" t="s">
        <v>125</v>
      </c>
      <c r="N36" s="50"/>
    </row>
    <row r="37" spans="7:15" x14ac:dyDescent="0.3">
      <c r="H37" s="6" t="s">
        <v>126</v>
      </c>
      <c r="I37" s="55"/>
      <c r="K37" s="49"/>
      <c r="L37" s="50"/>
      <c r="M37" s="54" t="s">
        <v>127</v>
      </c>
      <c r="N37" s="50"/>
    </row>
    <row r="38" spans="7:15" x14ac:dyDescent="0.3">
      <c r="I38" s="5"/>
      <c r="K38" s="49"/>
      <c r="L38" s="50"/>
      <c r="M38" s="51" t="s">
        <v>128</v>
      </c>
      <c r="N38" s="50"/>
    </row>
    <row r="39" spans="7:15" x14ac:dyDescent="0.3">
      <c r="H39" s="52">
        <v>1</v>
      </c>
      <c r="K39" s="44"/>
      <c r="L39" s="45"/>
      <c r="M39" s="47" t="s">
        <v>129</v>
      </c>
      <c r="N39" s="45"/>
    </row>
    <row r="40" spans="7:15" x14ac:dyDescent="0.3">
      <c r="H40" s="52">
        <v>2</v>
      </c>
      <c r="K40" s="41" t="s">
        <v>130</v>
      </c>
      <c r="L40" s="42" t="s">
        <v>131</v>
      </c>
      <c r="M40" s="43" t="s">
        <v>132</v>
      </c>
      <c r="N40" s="42"/>
    </row>
    <row r="41" spans="7:15" x14ac:dyDescent="0.3">
      <c r="H41" s="52">
        <v>3</v>
      </c>
      <c r="K41" s="49"/>
      <c r="L41" s="50"/>
      <c r="M41" s="54" t="s">
        <v>133</v>
      </c>
      <c r="N41" s="50"/>
    </row>
    <row r="42" spans="7:15" x14ac:dyDescent="0.3">
      <c r="H42" s="53">
        <v>4</v>
      </c>
      <c r="K42" s="49"/>
      <c r="L42" s="50"/>
      <c r="M42" s="54" t="s">
        <v>134</v>
      </c>
      <c r="N42" s="50"/>
    </row>
    <row r="43" spans="7:15" x14ac:dyDescent="0.3">
      <c r="H43" s="53">
        <v>5</v>
      </c>
      <c r="K43" s="49"/>
      <c r="L43" s="50"/>
      <c r="M43" s="54" t="s">
        <v>135</v>
      </c>
      <c r="N43" s="50"/>
    </row>
    <row r="44" spans="7:15" x14ac:dyDescent="0.3">
      <c r="H44" s="53">
        <v>6</v>
      </c>
      <c r="K44" s="44"/>
      <c r="L44" s="45"/>
      <c r="M44" s="47" t="s">
        <v>129</v>
      </c>
      <c r="N44" s="45"/>
    </row>
    <row r="45" spans="7:15" x14ac:dyDescent="0.3">
      <c r="H45" s="53">
        <v>7</v>
      </c>
      <c r="M45" s="5"/>
      <c r="N45" s="5"/>
    </row>
    <row r="46" spans="7:15" x14ac:dyDescent="0.3">
      <c r="H46" s="53">
        <v>8</v>
      </c>
      <c r="M46" s="5"/>
      <c r="N46" s="5"/>
    </row>
    <row r="47" spans="7:15" x14ac:dyDescent="0.3">
      <c r="H47" s="53">
        <v>9</v>
      </c>
      <c r="M47" s="5"/>
      <c r="N47" s="5"/>
    </row>
    <row r="48" spans="7:15" x14ac:dyDescent="0.3">
      <c r="H48" s="53">
        <v>10</v>
      </c>
      <c r="M48" s="5"/>
    </row>
    <row r="49" spans="8:14" x14ac:dyDescent="0.3">
      <c r="H49" s="53">
        <v>11</v>
      </c>
    </row>
    <row r="50" spans="8:14" x14ac:dyDescent="0.3">
      <c r="H50" s="53">
        <v>12</v>
      </c>
    </row>
    <row r="51" spans="8:14" x14ac:dyDescent="0.3">
      <c r="H51" s="53">
        <v>13</v>
      </c>
    </row>
    <row r="52" spans="8:14" x14ac:dyDescent="0.3">
      <c r="H52" s="53"/>
    </row>
    <row r="54" spans="8:14" x14ac:dyDescent="0.3">
      <c r="H54" s="6" t="s">
        <v>136</v>
      </c>
      <c r="I54" s="55"/>
    </row>
    <row r="56" spans="8:14" x14ac:dyDescent="0.3">
      <c r="H56" s="52">
        <v>1</v>
      </c>
    </row>
    <row r="57" spans="8:14" x14ac:dyDescent="0.3">
      <c r="H57" s="52">
        <v>2</v>
      </c>
    </row>
    <row r="58" spans="8:14" x14ac:dyDescent="0.3">
      <c r="H58" s="52">
        <v>3</v>
      </c>
      <c r="N58" s="5"/>
    </row>
    <row r="59" spans="8:14" x14ac:dyDescent="0.3">
      <c r="H59" s="52">
        <v>4</v>
      </c>
      <c r="L59" s="5"/>
      <c r="M59" s="5"/>
    </row>
    <row r="60" spans="8:14" x14ac:dyDescent="0.3">
      <c r="H60" s="53">
        <v>5</v>
      </c>
    </row>
    <row r="61" spans="8:14" x14ac:dyDescent="0.3">
      <c r="H61" s="53">
        <v>6</v>
      </c>
    </row>
    <row r="65" spans="12:14" x14ac:dyDescent="0.3">
      <c r="N65" s="5"/>
    </row>
    <row r="66" spans="12:14" x14ac:dyDescent="0.3">
      <c r="L66" s="5"/>
      <c r="M66" s="5"/>
    </row>
  </sheetData>
  <conditionalFormatting sqref="N20">
    <cfRule type="cellIs" dxfId="5" priority="1" operator="equal">
      <formula>"Low"</formula>
    </cfRule>
    <cfRule type="cellIs" dxfId="4" priority="2" operator="equal">
      <formula>"Medium"</formula>
    </cfRule>
    <cfRule type="cellIs" dxfId="3" priority="3" operator="equal">
      <formula>"High"</formula>
    </cfRule>
  </conditionalFormatting>
  <dataValidations count="3">
    <dataValidation type="list" allowBlank="1" showInputMessage="1" showErrorMessage="1" sqref="N18" xr:uid="{5C930A2A-107F-4C91-9A77-E0DABF23569D}">
      <formula1>"Material, Moderate, Minor"</formula1>
    </dataValidation>
    <dataValidation type="list" allowBlank="1" showInputMessage="1" showErrorMessage="1" sqref="N16" xr:uid="{EC2DE8F3-6D43-4E04-9A50-38C2D35AB3BB}">
      <formula1>"High, Medium, Low"</formula1>
    </dataValidation>
    <dataValidation type="list" allowBlank="1" showInputMessage="1" showErrorMessage="1" sqref="N9" xr:uid="{12DE6C88-B3A4-4232-A779-E4F8A8200F4D}">
      <formula1>"Daily, Weekly, Monthly, Quarterly, Annually"</formula1>
    </dataValidation>
  </dataValidations>
  <pageMargins left="0.7" right="0.7" top="0.75" bottom="0.75" header="0.3" footer="0.3"/>
  <pageSetup paperSize="9"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2479F5-22A0-47C9-96CD-68B343FEAB14}">
  <sheetPr codeName="Sheet2"/>
  <dimension ref="B2:O95"/>
  <sheetViews>
    <sheetView showGridLines="0" tabSelected="1" topLeftCell="A42" workbookViewId="0">
      <selection activeCell="Q70" sqref="Q70"/>
    </sheetView>
  </sheetViews>
  <sheetFormatPr defaultRowHeight="14.5" x14ac:dyDescent="0.35"/>
  <cols>
    <col min="1" max="1" width="1.84375" customWidth="1"/>
    <col min="2" max="2" width="8.84375" customWidth="1"/>
    <col min="3" max="3" width="54.84375" customWidth="1"/>
    <col min="4" max="5" width="14.84375" customWidth="1"/>
    <col min="6" max="6" width="5.15234375" customWidth="1"/>
    <col min="7" max="7" width="8.15234375" bestFit="1" customWidth="1"/>
    <col min="8" max="8" width="23.23046875" bestFit="1" customWidth="1"/>
  </cols>
  <sheetData>
    <row r="2" spans="2:10" ht="19" x14ac:dyDescent="0.35">
      <c r="B2" s="1" t="s">
        <v>139</v>
      </c>
      <c r="C2" s="1"/>
      <c r="D2" s="1"/>
      <c r="E2" s="1"/>
      <c r="F2" s="1"/>
      <c r="G2" s="1"/>
      <c r="H2" s="1"/>
      <c r="I2" s="1"/>
      <c r="J2" s="1"/>
    </row>
    <row r="3" spans="2:10" x14ac:dyDescent="0.35">
      <c r="B3" s="58" t="s">
        <v>140</v>
      </c>
    </row>
    <row r="4" spans="2:10" x14ac:dyDescent="0.35">
      <c r="B4" s="61" t="s">
        <v>141</v>
      </c>
      <c r="C4" s="61"/>
      <c r="D4" s="61"/>
      <c r="E4" s="61"/>
      <c r="F4" s="61"/>
      <c r="G4" s="61"/>
      <c r="H4" s="61"/>
    </row>
    <row r="5" spans="2:10" x14ac:dyDescent="0.35">
      <c r="B5" s="61"/>
      <c r="C5" s="62"/>
      <c r="D5" s="63"/>
      <c r="E5" s="63"/>
      <c r="F5" s="63"/>
      <c r="G5" s="61"/>
      <c r="H5" s="61"/>
    </row>
    <row r="6" spans="2:10" x14ac:dyDescent="0.35">
      <c r="B6" s="61"/>
      <c r="C6" s="62"/>
      <c r="D6" s="63"/>
      <c r="E6" s="63"/>
      <c r="F6" s="63"/>
      <c r="G6" s="61"/>
      <c r="H6" s="61"/>
    </row>
    <row r="7" spans="2:10" x14ac:dyDescent="0.35">
      <c r="B7" s="6" t="s">
        <v>142</v>
      </c>
      <c r="C7" s="64"/>
      <c r="D7" s="59"/>
      <c r="E7" s="59"/>
      <c r="F7" s="59"/>
      <c r="G7" s="59"/>
      <c r="H7" s="59"/>
      <c r="I7" s="59"/>
      <c r="J7" s="59"/>
    </row>
    <row r="8" spans="2:10" x14ac:dyDescent="0.35">
      <c r="B8" s="61"/>
      <c r="C8" s="62"/>
      <c r="D8" s="63"/>
      <c r="E8" s="63"/>
      <c r="F8" s="63"/>
      <c r="G8" s="61"/>
      <c r="H8" s="61"/>
    </row>
    <row r="9" spans="2:10" x14ac:dyDescent="0.35">
      <c r="B9" s="65">
        <v>1</v>
      </c>
      <c r="C9" s="66" t="s">
        <v>143</v>
      </c>
      <c r="D9" s="162" t="s">
        <v>343</v>
      </c>
      <c r="E9" s="162"/>
      <c r="F9" s="67"/>
      <c r="G9" s="61"/>
      <c r="H9" s="61"/>
    </row>
    <row r="10" spans="2:10" x14ac:dyDescent="0.35">
      <c r="B10" s="68"/>
      <c r="C10" s="62"/>
      <c r="D10" s="63"/>
      <c r="E10" s="63"/>
      <c r="F10" s="69"/>
      <c r="G10" s="61"/>
      <c r="H10" s="61"/>
    </row>
    <row r="11" spans="2:10" x14ac:dyDescent="0.35">
      <c r="B11" s="70">
        <v>2</v>
      </c>
      <c r="C11" s="62" t="s">
        <v>144</v>
      </c>
      <c r="D11" s="161">
        <v>46203</v>
      </c>
      <c r="E11" s="161"/>
      <c r="F11" s="69"/>
      <c r="G11" s="61"/>
      <c r="H11" s="61"/>
    </row>
    <row r="12" spans="2:10" x14ac:dyDescent="0.35">
      <c r="B12" s="68"/>
      <c r="C12" s="62"/>
      <c r="D12" s="63"/>
      <c r="E12" s="63"/>
      <c r="F12" s="69"/>
      <c r="G12" s="61"/>
      <c r="H12" s="61"/>
    </row>
    <row r="13" spans="2:10" x14ac:dyDescent="0.35">
      <c r="B13" s="70" t="s">
        <v>145</v>
      </c>
      <c r="C13" s="62" t="s">
        <v>146</v>
      </c>
      <c r="D13" s="77" t="s">
        <v>147</v>
      </c>
      <c r="E13" s="77"/>
      <c r="F13" s="69"/>
      <c r="G13" s="61"/>
      <c r="H13" s="61"/>
    </row>
    <row r="14" spans="2:10" x14ac:dyDescent="0.35">
      <c r="B14" s="70" t="s">
        <v>148</v>
      </c>
      <c r="C14" s="62" t="s">
        <v>149</v>
      </c>
      <c r="D14" s="160" t="b">
        <v>1</v>
      </c>
      <c r="E14" s="160"/>
      <c r="F14" s="69"/>
      <c r="G14" s="61"/>
      <c r="H14" s="61"/>
    </row>
    <row r="15" spans="2:10" x14ac:dyDescent="0.35">
      <c r="B15" s="70" t="s">
        <v>150</v>
      </c>
      <c r="C15" s="62" t="s">
        <v>151</v>
      </c>
      <c r="D15" s="160" t="b">
        <v>1</v>
      </c>
      <c r="E15" s="160"/>
      <c r="F15" s="72" t="s">
        <v>152</v>
      </c>
      <c r="G15" s="61"/>
      <c r="H15" s="61"/>
    </row>
    <row r="16" spans="2:10" x14ac:dyDescent="0.35">
      <c r="B16" s="70" t="s">
        <v>153</v>
      </c>
      <c r="C16" s="62" t="s">
        <v>154</v>
      </c>
      <c r="D16" s="160" t="b">
        <v>1</v>
      </c>
      <c r="E16" s="160"/>
      <c r="F16" s="69"/>
      <c r="G16" s="61"/>
      <c r="H16" s="61"/>
    </row>
    <row r="17" spans="2:8" x14ac:dyDescent="0.35">
      <c r="B17" s="70" t="s">
        <v>155</v>
      </c>
      <c r="C17" s="62" t="s">
        <v>156</v>
      </c>
      <c r="D17" s="160" t="b">
        <v>1</v>
      </c>
      <c r="E17" s="160"/>
      <c r="F17" s="69"/>
      <c r="G17" s="61"/>
      <c r="H17" s="61"/>
    </row>
    <row r="18" spans="2:8" x14ac:dyDescent="0.35">
      <c r="B18" s="70" t="s">
        <v>157</v>
      </c>
      <c r="C18" s="62" t="s">
        <v>158</v>
      </c>
      <c r="D18" s="160" t="b">
        <v>1</v>
      </c>
      <c r="E18" s="160"/>
      <c r="F18" s="69"/>
      <c r="G18" s="61"/>
      <c r="H18" s="61"/>
    </row>
    <row r="19" spans="2:8" x14ac:dyDescent="0.35">
      <c r="B19" s="70" t="s">
        <v>159</v>
      </c>
      <c r="C19" s="62" t="s">
        <v>160</v>
      </c>
      <c r="D19" s="160" t="b">
        <v>1</v>
      </c>
      <c r="E19" s="160"/>
      <c r="F19" s="69"/>
      <c r="G19" s="61"/>
      <c r="H19" s="61"/>
    </row>
    <row r="20" spans="2:8" x14ac:dyDescent="0.35">
      <c r="B20" s="70" t="s">
        <v>161</v>
      </c>
      <c r="C20" s="62" t="s">
        <v>162</v>
      </c>
      <c r="D20" s="160" t="b">
        <v>1</v>
      </c>
      <c r="E20" s="160"/>
      <c r="F20" s="69"/>
      <c r="G20" s="61"/>
      <c r="H20" s="61"/>
    </row>
    <row r="21" spans="2:8" x14ac:dyDescent="0.35">
      <c r="B21" s="70" t="s">
        <v>163</v>
      </c>
      <c r="C21" s="62" t="s">
        <v>164</v>
      </c>
      <c r="D21" s="160" t="b">
        <v>1</v>
      </c>
      <c r="E21" s="160"/>
      <c r="F21" s="72" t="s">
        <v>152</v>
      </c>
      <c r="G21" s="61"/>
      <c r="H21" s="61"/>
    </row>
    <row r="22" spans="2:8" x14ac:dyDescent="0.35">
      <c r="B22" s="70" t="s">
        <v>165</v>
      </c>
      <c r="C22" s="62" t="s">
        <v>166</v>
      </c>
      <c r="D22" s="160" t="b">
        <v>1</v>
      </c>
      <c r="E22" s="160"/>
      <c r="F22" s="72" t="s">
        <v>152</v>
      </c>
      <c r="G22" s="61"/>
      <c r="H22" s="61"/>
    </row>
    <row r="23" spans="2:8" x14ac:dyDescent="0.35">
      <c r="B23" s="70" t="s">
        <v>167</v>
      </c>
      <c r="C23" s="62" t="s">
        <v>168</v>
      </c>
      <c r="D23" s="160" t="b">
        <v>1</v>
      </c>
      <c r="E23" s="160"/>
      <c r="F23" s="72" t="s">
        <v>152</v>
      </c>
      <c r="G23" s="61"/>
      <c r="H23" s="61"/>
    </row>
    <row r="24" spans="2:8" x14ac:dyDescent="0.35">
      <c r="B24" s="68"/>
      <c r="C24" s="62"/>
      <c r="D24" s="77" t="s">
        <v>147</v>
      </c>
      <c r="E24" s="77"/>
      <c r="F24" s="69"/>
      <c r="G24" s="61"/>
      <c r="H24" s="61"/>
    </row>
    <row r="25" spans="2:8" x14ac:dyDescent="0.35">
      <c r="B25" s="70" t="s">
        <v>169</v>
      </c>
      <c r="C25" s="62" t="s">
        <v>170</v>
      </c>
      <c r="D25" s="164" t="b">
        <v>1</v>
      </c>
      <c r="E25" s="164"/>
      <c r="F25" s="69"/>
      <c r="G25" s="61"/>
      <c r="H25" s="61"/>
    </row>
    <row r="26" spans="2:8" x14ac:dyDescent="0.35">
      <c r="B26" s="70"/>
      <c r="C26" s="62"/>
      <c r="D26" s="62"/>
      <c r="E26" s="62"/>
      <c r="F26" s="69"/>
      <c r="G26" s="61"/>
      <c r="H26" s="61"/>
    </row>
    <row r="27" spans="2:8" x14ac:dyDescent="0.35">
      <c r="B27" s="70" t="s">
        <v>171</v>
      </c>
      <c r="C27" s="62" t="s">
        <v>172</v>
      </c>
      <c r="D27" s="104" t="s">
        <v>173</v>
      </c>
      <c r="E27" s="105" t="s">
        <v>174</v>
      </c>
      <c r="F27" s="69"/>
      <c r="G27" s="61"/>
      <c r="H27" s="61"/>
    </row>
    <row r="28" spans="2:8" x14ac:dyDescent="0.35">
      <c r="B28" s="70" t="s">
        <v>175</v>
      </c>
      <c r="C28" s="62" t="s">
        <v>176</v>
      </c>
      <c r="D28" s="71" t="b">
        <v>1</v>
      </c>
      <c r="E28" s="71" t="b">
        <v>1</v>
      </c>
      <c r="F28" s="106" t="s">
        <v>177</v>
      </c>
      <c r="G28" s="61"/>
      <c r="H28" s="61"/>
    </row>
    <row r="29" spans="2:8" x14ac:dyDescent="0.35">
      <c r="B29" s="70" t="s">
        <v>178</v>
      </c>
      <c r="C29" s="62" t="s">
        <v>179</v>
      </c>
      <c r="D29" s="71" t="b">
        <v>1</v>
      </c>
      <c r="E29" s="71" t="b">
        <v>0</v>
      </c>
      <c r="F29" s="106" t="s">
        <v>180</v>
      </c>
      <c r="G29" s="61"/>
      <c r="H29" s="61"/>
    </row>
    <row r="30" spans="2:8" x14ac:dyDescent="0.35">
      <c r="B30" s="70" t="s">
        <v>181</v>
      </c>
      <c r="C30" s="62" t="s">
        <v>182</v>
      </c>
      <c r="D30" s="71" t="b">
        <v>1</v>
      </c>
      <c r="E30" s="71" t="b">
        <v>0</v>
      </c>
      <c r="F30" s="69" t="s">
        <v>183</v>
      </c>
      <c r="G30" s="61"/>
      <c r="H30" s="61"/>
    </row>
    <row r="31" spans="2:8" x14ac:dyDescent="0.35">
      <c r="B31" s="70" t="s">
        <v>184</v>
      </c>
      <c r="C31" s="62" t="s">
        <v>185</v>
      </c>
      <c r="D31" s="71" t="b">
        <v>1</v>
      </c>
      <c r="E31" s="71" t="b">
        <v>0</v>
      </c>
      <c r="F31" s="69"/>
      <c r="G31" s="61"/>
      <c r="H31" s="61"/>
    </row>
    <row r="32" spans="2:8" x14ac:dyDescent="0.35">
      <c r="B32" s="70" t="s">
        <v>186</v>
      </c>
      <c r="C32" s="62" t="s">
        <v>187</v>
      </c>
      <c r="D32" s="71" t="b">
        <v>1</v>
      </c>
      <c r="E32" s="71" t="b">
        <v>0</v>
      </c>
      <c r="F32" s="69"/>
      <c r="G32" s="61"/>
      <c r="H32" s="61"/>
    </row>
    <row r="33" spans="2:8" x14ac:dyDescent="0.35">
      <c r="B33" s="70" t="s">
        <v>188</v>
      </c>
      <c r="C33" s="62" t="s">
        <v>189</v>
      </c>
      <c r="D33" s="71" t="b">
        <v>0</v>
      </c>
      <c r="E33" s="71" t="b">
        <v>0</v>
      </c>
      <c r="F33" s="69"/>
      <c r="G33" s="61"/>
      <c r="H33" s="61"/>
    </row>
    <row r="34" spans="2:8" x14ac:dyDescent="0.35">
      <c r="B34" s="70" t="s">
        <v>190</v>
      </c>
      <c r="C34" s="62" t="s">
        <v>189</v>
      </c>
      <c r="D34" s="71" t="b">
        <v>0</v>
      </c>
      <c r="E34" s="71" t="b">
        <v>0</v>
      </c>
      <c r="F34" s="69"/>
      <c r="G34" s="61"/>
      <c r="H34" s="61"/>
    </row>
    <row r="35" spans="2:8" x14ac:dyDescent="0.35">
      <c r="B35" s="70" t="s">
        <v>191</v>
      </c>
      <c r="C35" s="62" t="s">
        <v>192</v>
      </c>
      <c r="D35" s="71" t="b">
        <v>1</v>
      </c>
      <c r="E35" s="71" t="b">
        <v>0</v>
      </c>
      <c r="F35" s="69"/>
      <c r="G35" s="61"/>
      <c r="H35" s="61"/>
    </row>
    <row r="36" spans="2:8" x14ac:dyDescent="0.35">
      <c r="B36" s="68"/>
      <c r="C36" s="62"/>
      <c r="D36" s="63"/>
      <c r="E36" s="63"/>
      <c r="F36" s="69"/>
      <c r="G36" s="61"/>
      <c r="H36" s="61"/>
    </row>
    <row r="37" spans="2:8" x14ac:dyDescent="0.35">
      <c r="B37" s="70" t="s">
        <v>171</v>
      </c>
      <c r="C37" s="62" t="s">
        <v>193</v>
      </c>
      <c r="D37" s="63"/>
      <c r="E37" s="63"/>
      <c r="F37" s="69"/>
      <c r="G37" s="61"/>
      <c r="H37" s="61"/>
    </row>
    <row r="38" spans="2:8" x14ac:dyDescent="0.35">
      <c r="B38" s="68"/>
      <c r="C38" s="73"/>
      <c r="D38" s="73"/>
      <c r="E38" s="73"/>
      <c r="F38" s="69"/>
      <c r="G38" s="61"/>
      <c r="H38" s="61"/>
    </row>
    <row r="39" spans="2:8" x14ac:dyDescent="0.35">
      <c r="B39" s="70" t="s">
        <v>194</v>
      </c>
      <c r="C39" s="74" t="s">
        <v>195</v>
      </c>
      <c r="D39" s="75" t="s">
        <v>331</v>
      </c>
      <c r="E39" s="75"/>
      <c r="F39" s="69"/>
      <c r="G39" s="61"/>
      <c r="H39" s="61"/>
    </row>
    <row r="40" spans="2:8" x14ac:dyDescent="0.35">
      <c r="B40" s="70" t="s">
        <v>210</v>
      </c>
      <c r="C40" s="74" t="s">
        <v>344</v>
      </c>
      <c r="D40" s="75" t="s">
        <v>345</v>
      </c>
      <c r="E40" s="75"/>
      <c r="F40" s="69"/>
      <c r="G40" s="61"/>
      <c r="H40" s="61"/>
    </row>
    <row r="41" spans="2:8" x14ac:dyDescent="0.35">
      <c r="B41" s="70"/>
      <c r="C41" s="73"/>
      <c r="D41" s="73"/>
      <c r="E41" s="73"/>
      <c r="F41" s="69"/>
      <c r="G41" s="61"/>
      <c r="H41" s="61"/>
    </row>
    <row r="42" spans="2:8" x14ac:dyDescent="0.35">
      <c r="B42" s="70" t="s">
        <v>196</v>
      </c>
      <c r="C42" s="74" t="s">
        <v>197</v>
      </c>
      <c r="D42" s="75" t="s">
        <v>332</v>
      </c>
      <c r="E42" s="75"/>
      <c r="F42" s="76" t="s">
        <v>198</v>
      </c>
      <c r="G42" s="61"/>
      <c r="H42" s="61"/>
    </row>
    <row r="43" spans="2:8" x14ac:dyDescent="0.35">
      <c r="B43" s="68"/>
      <c r="C43" s="73"/>
      <c r="D43" s="73"/>
      <c r="E43" s="73"/>
      <c r="F43" s="69"/>
      <c r="G43" s="61"/>
      <c r="H43" s="61"/>
    </row>
    <row r="44" spans="2:8" x14ac:dyDescent="0.35">
      <c r="B44" s="70" t="s">
        <v>199</v>
      </c>
      <c r="C44" s="62" t="s">
        <v>200</v>
      </c>
      <c r="D44" s="160"/>
      <c r="E44" s="160"/>
      <c r="F44" s="69"/>
      <c r="G44" s="61"/>
      <c r="H44" s="61"/>
    </row>
    <row r="45" spans="2:8" x14ac:dyDescent="0.35">
      <c r="B45" s="70" t="s">
        <v>201</v>
      </c>
      <c r="C45" s="62" t="s">
        <v>202</v>
      </c>
      <c r="D45" s="160"/>
      <c r="E45" s="160"/>
      <c r="F45" s="69"/>
      <c r="G45" s="61"/>
      <c r="H45" s="61"/>
    </row>
    <row r="46" spans="2:8" x14ac:dyDescent="0.35">
      <c r="B46" s="68"/>
      <c r="C46" s="62"/>
      <c r="D46" s="63"/>
      <c r="E46" s="63"/>
      <c r="F46" s="69"/>
      <c r="G46" s="61"/>
      <c r="H46" s="61"/>
    </row>
    <row r="47" spans="2:8" x14ac:dyDescent="0.35">
      <c r="B47" s="70" t="s">
        <v>203</v>
      </c>
      <c r="C47" s="62" t="s">
        <v>204</v>
      </c>
      <c r="D47" s="160"/>
      <c r="E47" s="160"/>
      <c r="F47" s="69"/>
      <c r="G47" s="61"/>
      <c r="H47" s="61"/>
    </row>
    <row r="48" spans="2:8" x14ac:dyDescent="0.35">
      <c r="B48" s="70" t="s">
        <v>205</v>
      </c>
      <c r="C48" s="62" t="s">
        <v>206</v>
      </c>
      <c r="D48" s="160"/>
      <c r="E48" s="160"/>
      <c r="F48" s="69"/>
      <c r="G48" s="61"/>
      <c r="H48" s="61"/>
    </row>
    <row r="49" spans="2:8" x14ac:dyDescent="0.35">
      <c r="B49" s="68"/>
      <c r="C49" s="62"/>
      <c r="D49" s="63"/>
      <c r="E49" s="63"/>
      <c r="F49" s="69"/>
      <c r="G49" s="61"/>
      <c r="H49" s="61"/>
    </row>
    <row r="50" spans="2:8" x14ac:dyDescent="0.35">
      <c r="B50" s="68"/>
      <c r="C50" s="62"/>
      <c r="D50" s="63"/>
      <c r="E50" s="63"/>
      <c r="F50" s="69"/>
      <c r="G50" s="61"/>
      <c r="H50" s="61"/>
    </row>
    <row r="51" spans="2:8" x14ac:dyDescent="0.35">
      <c r="B51" s="70"/>
      <c r="C51" s="63"/>
      <c r="D51" s="63"/>
      <c r="E51" s="63"/>
      <c r="F51" s="69"/>
      <c r="G51" s="61"/>
      <c r="H51" s="61"/>
    </row>
    <row r="52" spans="2:8" x14ac:dyDescent="0.35">
      <c r="B52" s="70"/>
      <c r="C52" s="63"/>
      <c r="D52" s="63"/>
      <c r="E52" s="63"/>
      <c r="F52" s="69"/>
      <c r="G52" s="61"/>
      <c r="H52" s="61"/>
    </row>
    <row r="53" spans="2:8" x14ac:dyDescent="0.35">
      <c r="B53" s="70"/>
      <c r="C53" s="63"/>
      <c r="D53" s="63"/>
      <c r="E53" s="63"/>
      <c r="F53" s="69"/>
      <c r="G53" s="61"/>
      <c r="H53" s="61"/>
    </row>
    <row r="54" spans="2:8" x14ac:dyDescent="0.35">
      <c r="B54" s="68"/>
      <c r="C54" s="63"/>
      <c r="D54" s="63"/>
      <c r="E54" s="63"/>
      <c r="F54" s="69"/>
      <c r="G54" s="61"/>
      <c r="H54" s="61"/>
    </row>
    <row r="55" spans="2:8" x14ac:dyDescent="0.35">
      <c r="B55" s="68"/>
      <c r="C55" s="77" t="s">
        <v>207</v>
      </c>
      <c r="D55" s="77"/>
      <c r="E55" s="77"/>
      <c r="F55" s="69"/>
      <c r="G55" s="61"/>
      <c r="H55" s="61"/>
    </row>
    <row r="56" spans="2:8" x14ac:dyDescent="0.35">
      <c r="B56" s="68"/>
      <c r="C56" s="77"/>
      <c r="D56" s="77"/>
      <c r="E56" s="77"/>
      <c r="F56" s="69"/>
      <c r="G56" s="61"/>
      <c r="H56" s="61"/>
    </row>
    <row r="57" spans="2:8" x14ac:dyDescent="0.35">
      <c r="B57" s="68"/>
      <c r="C57" s="77"/>
      <c r="D57" s="77"/>
      <c r="E57" s="77"/>
      <c r="F57" s="69"/>
      <c r="G57" s="61"/>
      <c r="H57" s="61"/>
    </row>
    <row r="58" spans="2:8" x14ac:dyDescent="0.35">
      <c r="B58" s="68"/>
      <c r="C58" s="77"/>
      <c r="D58" s="77"/>
      <c r="E58" s="77"/>
      <c r="F58" s="69"/>
      <c r="G58" s="61"/>
      <c r="H58" s="61"/>
    </row>
    <row r="59" spans="2:8" x14ac:dyDescent="0.35">
      <c r="B59" s="68"/>
      <c r="C59" s="77"/>
      <c r="D59" s="77"/>
      <c r="E59" s="77"/>
      <c r="F59" s="69"/>
      <c r="G59" s="61"/>
      <c r="H59" s="61"/>
    </row>
    <row r="60" spans="2:8" x14ac:dyDescent="0.35">
      <c r="B60" s="68"/>
      <c r="C60" s="77"/>
      <c r="D60" s="77"/>
      <c r="E60" s="77"/>
      <c r="F60" s="69"/>
      <c r="G60" s="61"/>
      <c r="H60" s="61"/>
    </row>
    <row r="61" spans="2:8" x14ac:dyDescent="0.35">
      <c r="B61" s="70"/>
      <c r="C61" s="63"/>
      <c r="D61" s="63"/>
      <c r="E61" s="63"/>
      <c r="F61" s="69"/>
      <c r="G61" s="61"/>
      <c r="H61" s="61"/>
    </row>
    <row r="62" spans="2:8" x14ac:dyDescent="0.35">
      <c r="B62" s="70"/>
      <c r="C62" s="63"/>
      <c r="D62" s="63"/>
      <c r="E62" s="63"/>
      <c r="F62" s="69"/>
      <c r="G62" s="61"/>
      <c r="H62" s="61"/>
    </row>
    <row r="63" spans="2:8" x14ac:dyDescent="0.35">
      <c r="B63" s="68"/>
      <c r="C63" s="62"/>
      <c r="D63" s="63"/>
      <c r="E63" s="63"/>
      <c r="F63" s="69"/>
      <c r="G63" s="61"/>
      <c r="H63" s="61"/>
    </row>
    <row r="64" spans="2:8" x14ac:dyDescent="0.35">
      <c r="B64" s="70" t="s">
        <v>194</v>
      </c>
      <c r="C64" s="62" t="s">
        <v>208</v>
      </c>
      <c r="D64" s="63"/>
      <c r="E64" s="63"/>
      <c r="F64" s="76" t="s">
        <v>209</v>
      </c>
      <c r="G64" s="61"/>
      <c r="H64" s="61"/>
    </row>
    <row r="65" spans="2:15" x14ac:dyDescent="0.35">
      <c r="B65" s="70" t="s">
        <v>210</v>
      </c>
      <c r="C65" s="62" t="s">
        <v>211</v>
      </c>
      <c r="D65" s="165" t="s">
        <v>212</v>
      </c>
      <c r="E65" s="165"/>
      <c r="F65" s="69"/>
      <c r="G65" s="61"/>
      <c r="H65" s="61"/>
    </row>
    <row r="66" spans="2:15" x14ac:dyDescent="0.35">
      <c r="B66" s="68"/>
      <c r="C66" s="62"/>
      <c r="D66" s="63"/>
      <c r="E66" s="63"/>
      <c r="F66" s="69"/>
      <c r="G66" s="61"/>
      <c r="H66" s="61"/>
    </row>
    <row r="67" spans="2:15" x14ac:dyDescent="0.35">
      <c r="B67" s="68"/>
      <c r="C67" s="62"/>
      <c r="D67" s="63"/>
      <c r="E67" s="63"/>
      <c r="F67" s="69"/>
      <c r="G67" s="61"/>
      <c r="H67" s="61"/>
    </row>
    <row r="68" spans="2:15" x14ac:dyDescent="0.35">
      <c r="B68" s="68"/>
      <c r="C68" s="62"/>
      <c r="D68" s="63"/>
      <c r="E68" s="63"/>
      <c r="F68" s="69"/>
      <c r="G68" s="61"/>
      <c r="H68" s="61"/>
    </row>
    <row r="69" spans="2:15" x14ac:dyDescent="0.35">
      <c r="B69" s="68"/>
      <c r="C69" s="62"/>
      <c r="D69" s="63"/>
      <c r="E69" s="63"/>
      <c r="F69" s="69"/>
      <c r="G69" s="61"/>
      <c r="H69" s="61"/>
    </row>
    <row r="70" spans="2:15" x14ac:dyDescent="0.35">
      <c r="B70" s="68"/>
      <c r="C70" s="62"/>
      <c r="D70" s="63"/>
      <c r="E70" s="63"/>
      <c r="F70" s="69"/>
      <c r="G70" s="61"/>
      <c r="H70" s="61"/>
    </row>
    <row r="71" spans="2:15" x14ac:dyDescent="0.35">
      <c r="B71" s="68"/>
      <c r="C71" s="62"/>
      <c r="D71" s="63"/>
      <c r="E71" s="63"/>
      <c r="F71" s="69"/>
      <c r="G71" s="61"/>
      <c r="H71" s="61"/>
    </row>
    <row r="72" spans="2:15" x14ac:dyDescent="0.35">
      <c r="B72" s="68"/>
      <c r="C72" s="62"/>
      <c r="D72" s="63"/>
      <c r="E72" s="63"/>
      <c r="F72" s="69"/>
      <c r="G72" s="61"/>
      <c r="H72" s="158" t="s">
        <v>333</v>
      </c>
      <c r="I72" s="158"/>
      <c r="J72" s="158"/>
      <c r="K72" s="158"/>
      <c r="L72" s="158"/>
      <c r="M72" s="158"/>
      <c r="N72" s="158"/>
      <c r="O72" s="158"/>
    </row>
    <row r="73" spans="2:15" x14ac:dyDescent="0.35">
      <c r="B73" s="68"/>
      <c r="C73" s="62"/>
      <c r="D73" s="63"/>
      <c r="E73" s="63"/>
      <c r="F73" s="69"/>
      <c r="G73" s="61"/>
      <c r="H73" s="150" t="s">
        <v>334</v>
      </c>
      <c r="I73" s="150"/>
      <c r="J73" s="150"/>
      <c r="K73" s="150"/>
      <c r="L73" s="159">
        <v>46323</v>
      </c>
      <c r="M73" s="152"/>
      <c r="N73" s="152"/>
      <c r="O73" s="152"/>
    </row>
    <row r="74" spans="2:15" x14ac:dyDescent="0.35">
      <c r="B74" s="68">
        <v>8</v>
      </c>
      <c r="C74" s="62" t="s">
        <v>213</v>
      </c>
      <c r="D74" s="63"/>
      <c r="E74" s="63"/>
      <c r="F74" s="69"/>
      <c r="G74" s="61"/>
      <c r="H74" s="150" t="s">
        <v>335</v>
      </c>
      <c r="I74" s="150"/>
      <c r="J74" s="150"/>
      <c r="K74" s="150"/>
      <c r="L74" s="155">
        <v>46323.759884259256</v>
      </c>
      <c r="M74" s="152"/>
      <c r="N74" s="152"/>
      <c r="O74" s="152"/>
    </row>
    <row r="75" spans="2:15" x14ac:dyDescent="0.35">
      <c r="B75" s="68"/>
      <c r="C75" s="62"/>
      <c r="D75" s="63"/>
      <c r="E75" s="63"/>
      <c r="F75" s="69"/>
      <c r="G75" s="61"/>
      <c r="H75" s="150" t="s">
        <v>336</v>
      </c>
      <c r="I75" s="150"/>
      <c r="J75" s="150"/>
      <c r="K75" s="150"/>
      <c r="L75" s="155">
        <v>46323.760208333333</v>
      </c>
      <c r="M75" s="152"/>
      <c r="N75" s="152"/>
      <c r="O75" s="152"/>
    </row>
    <row r="76" spans="2:15" x14ac:dyDescent="0.35">
      <c r="B76" s="68"/>
      <c r="C76" s="62"/>
      <c r="D76" s="63"/>
      <c r="E76" s="63"/>
      <c r="F76" s="69"/>
      <c r="G76" s="61"/>
      <c r="H76" s="150" t="s">
        <v>337</v>
      </c>
      <c r="I76" s="150"/>
      <c r="J76" s="150"/>
      <c r="K76" s="150"/>
      <c r="L76" s="157">
        <v>3.1761389467613267E-4</v>
      </c>
      <c r="M76" s="152"/>
      <c r="N76" s="152"/>
      <c r="O76" s="152"/>
    </row>
    <row r="77" spans="2:15" x14ac:dyDescent="0.35">
      <c r="B77" s="68"/>
      <c r="C77" s="62"/>
      <c r="D77" s="63"/>
      <c r="E77" s="63"/>
      <c r="F77" s="69"/>
      <c r="G77" s="61"/>
      <c r="H77" s="150" t="s">
        <v>338</v>
      </c>
      <c r="I77" s="150"/>
      <c r="J77" s="150"/>
      <c r="K77" s="150"/>
      <c r="L77" s="151" t="s">
        <v>342</v>
      </c>
      <c r="M77" s="152"/>
      <c r="N77" s="152"/>
      <c r="O77" s="152"/>
    </row>
    <row r="78" spans="2:15" x14ac:dyDescent="0.35">
      <c r="B78" s="68"/>
      <c r="C78" s="62"/>
      <c r="D78" s="63"/>
      <c r="E78" s="63"/>
      <c r="F78" s="69"/>
      <c r="G78" s="61"/>
      <c r="H78" s="150" t="s">
        <v>339</v>
      </c>
      <c r="I78" s="150"/>
      <c r="J78" s="150"/>
      <c r="K78" s="150"/>
      <c r="L78" s="151" t="s">
        <v>349</v>
      </c>
      <c r="M78" s="152"/>
      <c r="N78" s="152"/>
      <c r="O78" s="152"/>
    </row>
    <row r="79" spans="2:15" x14ac:dyDescent="0.35">
      <c r="B79" s="68">
        <v>9</v>
      </c>
      <c r="C79" s="62" t="s">
        <v>214</v>
      </c>
      <c r="D79" s="63"/>
      <c r="E79" s="63"/>
      <c r="F79" s="69"/>
      <c r="G79" s="61"/>
      <c r="H79" s="150" t="s">
        <v>340</v>
      </c>
      <c r="I79" s="150"/>
      <c r="J79" s="150"/>
      <c r="K79" s="150"/>
      <c r="L79" s="153" t="s">
        <v>350</v>
      </c>
      <c r="M79" s="154"/>
      <c r="N79" s="154"/>
      <c r="O79" s="154"/>
    </row>
    <row r="80" spans="2:15" x14ac:dyDescent="0.35">
      <c r="B80" s="68"/>
      <c r="C80" s="62"/>
      <c r="D80" s="63"/>
      <c r="E80" s="63"/>
      <c r="F80" s="69"/>
      <c r="G80" s="61"/>
      <c r="H80" s="150"/>
      <c r="I80" s="150"/>
      <c r="J80" s="150"/>
      <c r="K80" s="150"/>
      <c r="L80" s="154"/>
      <c r="M80" s="154"/>
      <c r="N80" s="154"/>
      <c r="O80" s="154"/>
    </row>
    <row r="81" spans="2:15" x14ac:dyDescent="0.35">
      <c r="B81" s="68">
        <v>10</v>
      </c>
      <c r="C81" s="62" t="s">
        <v>215</v>
      </c>
      <c r="D81" s="163" t="e">
        <f xml:space="preserve"> COUNTIF('[1]O. Checks'!$B$7:$Z$45,FALSE)=0</f>
        <v>#VALUE!</v>
      </c>
      <c r="E81" s="163"/>
      <c r="F81" s="69"/>
      <c r="G81" s="61"/>
      <c r="H81" s="150" t="s">
        <v>341</v>
      </c>
      <c r="I81" s="150"/>
      <c r="J81" s="150"/>
      <c r="K81" s="150"/>
      <c r="L81" s="153" t="s">
        <v>350</v>
      </c>
      <c r="M81" s="154"/>
      <c r="N81" s="154"/>
      <c r="O81" s="154"/>
    </row>
    <row r="82" spans="2:15" x14ac:dyDescent="0.35">
      <c r="B82" s="78"/>
      <c r="C82" s="79"/>
      <c r="D82" s="80"/>
      <c r="E82" s="80"/>
      <c r="F82" s="81"/>
      <c r="G82" s="61"/>
      <c r="H82" s="150"/>
      <c r="I82" s="150"/>
      <c r="J82" s="150"/>
      <c r="K82" s="150"/>
      <c r="L82" s="154"/>
      <c r="M82" s="154"/>
      <c r="N82" s="154"/>
      <c r="O82" s="154"/>
    </row>
    <row r="83" spans="2:15" x14ac:dyDescent="0.35">
      <c r="B83" s="61"/>
      <c r="C83" s="61"/>
      <c r="D83" s="61"/>
      <c r="E83" s="61"/>
      <c r="F83" s="61"/>
      <c r="G83" s="61"/>
    </row>
    <row r="85" spans="2:15" x14ac:dyDescent="0.35">
      <c r="H85" s="158" t="s">
        <v>346</v>
      </c>
      <c r="I85" s="158"/>
      <c r="J85" s="158"/>
      <c r="K85" s="158"/>
      <c r="L85" s="158"/>
      <c r="M85" s="158"/>
      <c r="N85" s="158"/>
      <c r="O85" s="158"/>
    </row>
    <row r="86" spans="2:15" x14ac:dyDescent="0.35">
      <c r="H86" s="150" t="s">
        <v>334</v>
      </c>
      <c r="I86" s="150"/>
      <c r="J86" s="150"/>
      <c r="K86" s="150"/>
      <c r="L86" s="159">
        <v>46323</v>
      </c>
      <c r="M86" s="159"/>
      <c r="N86" s="159"/>
      <c r="O86" s="159"/>
    </row>
    <row r="87" spans="2:15" x14ac:dyDescent="0.35">
      <c r="H87" s="150" t="s">
        <v>335</v>
      </c>
      <c r="I87" s="150"/>
      <c r="J87" s="150"/>
      <c r="K87" s="150"/>
      <c r="L87" s="155">
        <v>46323.787141203706</v>
      </c>
      <c r="M87" s="156"/>
      <c r="N87" s="156"/>
      <c r="O87" s="156"/>
    </row>
    <row r="88" spans="2:15" x14ac:dyDescent="0.35">
      <c r="H88" s="150" t="s">
        <v>336</v>
      </c>
      <c r="I88" s="150"/>
      <c r="J88" s="150"/>
      <c r="K88" s="150"/>
      <c r="L88" s="155">
        <v>46323.789027777777</v>
      </c>
      <c r="M88" s="156"/>
      <c r="N88" s="156"/>
      <c r="O88" s="156"/>
    </row>
    <row r="89" spans="2:15" x14ac:dyDescent="0.35">
      <c r="H89" s="150" t="s">
        <v>337</v>
      </c>
      <c r="I89" s="150"/>
      <c r="J89" s="150"/>
      <c r="K89" s="150"/>
      <c r="L89" s="157">
        <v>1.8829276458334923E-3</v>
      </c>
      <c r="M89" s="157"/>
      <c r="N89" s="157"/>
      <c r="O89" s="157"/>
    </row>
    <row r="90" spans="2:15" x14ac:dyDescent="0.35">
      <c r="H90" s="150" t="s">
        <v>338</v>
      </c>
      <c r="I90" s="150"/>
      <c r="J90" s="150"/>
      <c r="K90" s="150"/>
      <c r="L90" s="151" t="s">
        <v>342</v>
      </c>
      <c r="M90" s="152"/>
      <c r="N90" s="152"/>
      <c r="O90" s="152"/>
    </row>
    <row r="91" spans="2:15" x14ac:dyDescent="0.35">
      <c r="H91" s="150" t="s">
        <v>339</v>
      </c>
      <c r="I91" s="150"/>
      <c r="J91" s="150"/>
      <c r="K91" s="150"/>
      <c r="L91" s="151" t="s">
        <v>349</v>
      </c>
      <c r="M91" s="152"/>
      <c r="N91" s="152"/>
      <c r="O91" s="152"/>
    </row>
    <row r="92" spans="2:15" x14ac:dyDescent="0.35">
      <c r="H92" s="150" t="s">
        <v>347</v>
      </c>
      <c r="I92" s="150"/>
      <c r="J92" s="150"/>
      <c r="K92" s="150"/>
      <c r="L92" s="153" t="s">
        <v>350</v>
      </c>
      <c r="M92" s="154"/>
      <c r="N92" s="154"/>
      <c r="O92" s="154"/>
    </row>
    <row r="93" spans="2:15" x14ac:dyDescent="0.35">
      <c r="H93" s="150"/>
      <c r="I93" s="150"/>
      <c r="J93" s="150"/>
      <c r="K93" s="150"/>
      <c r="L93" s="154"/>
      <c r="M93" s="154"/>
      <c r="N93" s="154"/>
      <c r="O93" s="154"/>
    </row>
    <row r="94" spans="2:15" x14ac:dyDescent="0.35">
      <c r="H94" s="150" t="s">
        <v>348</v>
      </c>
      <c r="I94" s="150"/>
      <c r="J94" s="150"/>
      <c r="K94" s="150"/>
      <c r="L94" s="173" t="s">
        <v>350</v>
      </c>
      <c r="M94" s="152"/>
      <c r="N94" s="152"/>
      <c r="O94" s="152"/>
    </row>
    <row r="95" spans="2:15" x14ac:dyDescent="0.35">
      <c r="H95" s="150"/>
      <c r="I95" s="150"/>
      <c r="J95" s="150"/>
      <c r="K95" s="150"/>
      <c r="L95" s="152"/>
      <c r="M95" s="152"/>
      <c r="N95" s="152"/>
      <c r="O95" s="152"/>
    </row>
  </sheetData>
  <mergeCells count="53">
    <mergeCell ref="H78:K78"/>
    <mergeCell ref="L78:O78"/>
    <mergeCell ref="H79:K80"/>
    <mergeCell ref="L79:O80"/>
    <mergeCell ref="H81:K82"/>
    <mergeCell ref="L81:O82"/>
    <mergeCell ref="H75:K75"/>
    <mergeCell ref="L75:O75"/>
    <mergeCell ref="H76:K76"/>
    <mergeCell ref="L76:O76"/>
    <mergeCell ref="H77:K77"/>
    <mergeCell ref="L77:O77"/>
    <mergeCell ref="H72:O72"/>
    <mergeCell ref="H73:K73"/>
    <mergeCell ref="L73:O73"/>
    <mergeCell ref="H74:K74"/>
    <mergeCell ref="L74:O74"/>
    <mergeCell ref="D81:E81"/>
    <mergeCell ref="D25:E25"/>
    <mergeCell ref="D44:E44"/>
    <mergeCell ref="D45:E45"/>
    <mergeCell ref="D47:E47"/>
    <mergeCell ref="D48:E48"/>
    <mergeCell ref="D65:E65"/>
    <mergeCell ref="D23:E23"/>
    <mergeCell ref="D11:E11"/>
    <mergeCell ref="D9:E9"/>
    <mergeCell ref="D14:E14"/>
    <mergeCell ref="D15:E15"/>
    <mergeCell ref="D16:E16"/>
    <mergeCell ref="D17:E17"/>
    <mergeCell ref="D18:E18"/>
    <mergeCell ref="D19:E19"/>
    <mergeCell ref="D20:E20"/>
    <mergeCell ref="D21:E21"/>
    <mergeCell ref="D22:E22"/>
    <mergeCell ref="H85:O85"/>
    <mergeCell ref="H86:K86"/>
    <mergeCell ref="L86:O86"/>
    <mergeCell ref="H87:K87"/>
    <mergeCell ref="L87:O87"/>
    <mergeCell ref="H88:K88"/>
    <mergeCell ref="L88:O88"/>
    <mergeCell ref="H89:K89"/>
    <mergeCell ref="L89:O89"/>
    <mergeCell ref="H90:K90"/>
    <mergeCell ref="L90:O90"/>
    <mergeCell ref="H91:K91"/>
    <mergeCell ref="L91:O91"/>
    <mergeCell ref="H92:K93"/>
    <mergeCell ref="L92:O93"/>
    <mergeCell ref="H94:K95"/>
    <mergeCell ref="L94:O95"/>
  </mergeCells>
  <conditionalFormatting sqref="D81">
    <cfRule type="cellIs" dxfId="9" priority="3" operator="equal">
      <formula>TRUE</formula>
    </cfRule>
    <cfRule type="cellIs" dxfId="8" priority="4" operator="equal">
      <formula>FALSE</formula>
    </cfRule>
  </conditionalFormatting>
  <conditionalFormatting sqref="D39:E40">
    <cfRule type="expression" dxfId="7" priority="2">
      <formula>$D$51=FALSE</formula>
    </cfRule>
  </conditionalFormatting>
  <conditionalFormatting sqref="D42:E42">
    <cfRule type="expression" dxfId="6" priority="1">
      <formula>$D$51=FALSE</formula>
    </cfRule>
  </conditionalFormatting>
  <dataValidations count="2">
    <dataValidation type="list" allowBlank="1" showInputMessage="1" showErrorMessage="1" sqref="D9" xr:uid="{4BB67855-624E-43C4-B4EA-BB42B06CE8AF}">
      <formula1>"JRL,PLACL"</formula1>
    </dataValidation>
    <dataValidation type="list" allowBlank="1" showInputMessage="1" showErrorMessage="1" sqref="D28:E35 D25:D26 D14:D23 E26" xr:uid="{E6EB7F2C-0210-4300-9B0A-037946A5B2B7}">
      <formula1>"TRUE,FALSE"</formula1>
    </dataValidation>
  </dataValidations>
  <hyperlinks>
    <hyperlink ref="L79" r:id="rId1" tooltip="Bonds Lite output/20261028_181415 - Click once to follow. Click and hold to select this cell." xr:uid="{5BCF8BC6-9CCD-434D-B3CB-61FD779291B4}"/>
    <hyperlink ref="L81" r:id="rId2" tooltip="Bonds Lite output/20261028_181415 - Click once to follow. Click and hold to select this cell." xr:uid="{5A5672C5-F234-4D25-BD03-039DB6EA0E18}"/>
    <hyperlink ref="L92" r:id="rId3" tooltip="Bonds Lite output/20261028_181415 - Click once to follow. Click and hold to select this cell." xr:uid="{429F75E4-8BDF-4411-85A2-0376026E2734}"/>
    <hyperlink ref="L94" r:id="rId4" tooltip="Bonds Lite output/20261028_181415 - Click once to follow. Click and hold to select this cell." xr:uid="{53200B72-97B5-40C1-A4E3-6ECB05774AAB}"/>
  </hyperlinks>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3082" r:id="rId7" name="btnGenerateBondsLiteInput">
              <controlPr defaultSize="0" print="0" autoFill="0" autoPict="0" macro="[0]!GenerateBondsLiteInput">
                <anchor moveWithCells="1" sizeWithCells="1">
                  <from>
                    <xdr:col>3</xdr:col>
                    <xdr:colOff>0</xdr:colOff>
                    <xdr:row>74</xdr:row>
                    <xdr:rowOff>0</xdr:rowOff>
                  </from>
                  <to>
                    <xdr:col>6</xdr:col>
                    <xdr:colOff>0</xdr:colOff>
                    <xdr:row>77</xdr:row>
                    <xdr:rowOff>0</xdr:rowOff>
                  </to>
                </anchor>
              </controlPr>
            </control>
          </mc:Choice>
        </mc:AlternateContent>
        <mc:AlternateContent xmlns:mc="http://schemas.openxmlformats.org/markup-compatibility/2006">
          <mc:Choice Requires="x14">
            <control shapeId="3083" r:id="rId8" name="btnRunBondsLite">
              <controlPr defaultSize="0" print="0" autoFill="0" autoPict="0" macro="[0]!RunBondsLite">
                <anchor moveWithCells="1" sizeWithCells="1">
                  <from>
                    <xdr:col>3</xdr:col>
                    <xdr:colOff>0</xdr:colOff>
                    <xdr:row>84</xdr:row>
                    <xdr:rowOff>0</xdr:rowOff>
                  </from>
                  <to>
                    <xdr:col>6</xdr:col>
                    <xdr:colOff>0</xdr:colOff>
                    <xdr:row>87</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34C496-D374-43C5-8F0C-3E59EEB3B29D}">
  <sheetPr codeName="Sheet4"/>
  <dimension ref="B2:BH3"/>
  <sheetViews>
    <sheetView showGridLines="0" workbookViewId="0">
      <selection activeCell="AA43" sqref="AA43"/>
    </sheetView>
  </sheetViews>
  <sheetFormatPr defaultRowHeight="14.5" x14ac:dyDescent="0.35"/>
  <cols>
    <col min="1" max="1" width="1.84375" customWidth="1"/>
    <col min="2" max="2" width="20.15234375" bestFit="1" customWidth="1"/>
    <col min="3" max="3" width="8.4609375" bestFit="1" customWidth="1"/>
    <col min="5" max="5" width="31.4609375" bestFit="1" customWidth="1"/>
    <col min="6" max="6" width="14.84375" bestFit="1" customWidth="1"/>
    <col min="11" max="11" width="2.61328125" customWidth="1"/>
    <col min="12" max="12" width="7.765625" bestFit="1" customWidth="1"/>
    <col min="53" max="53" width="10.84375" bestFit="1" customWidth="1"/>
    <col min="54" max="60" width="9.23046875" customWidth="1"/>
  </cols>
  <sheetData>
    <row r="2" spans="2:60" ht="19" x14ac:dyDescent="0.35">
      <c r="B2" s="1" t="s">
        <v>137</v>
      </c>
      <c r="C2" s="1"/>
      <c r="D2" s="1"/>
      <c r="E2" s="1"/>
      <c r="F2" s="1"/>
      <c r="G2" s="1"/>
      <c r="H2" s="1"/>
      <c r="I2" s="1"/>
      <c r="J2" s="1"/>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1"/>
      <c r="AS2" s="1"/>
      <c r="AT2" s="1"/>
      <c r="AU2" s="1"/>
      <c r="AV2" s="1"/>
      <c r="AW2" s="1"/>
      <c r="AX2" s="1"/>
      <c r="AY2" s="1"/>
      <c r="AZ2" s="1"/>
      <c r="BA2" s="1"/>
      <c r="BB2" s="1"/>
      <c r="BC2" s="1"/>
      <c r="BD2" s="1"/>
      <c r="BE2" s="1"/>
      <c r="BF2" s="1"/>
      <c r="BG2" s="1"/>
      <c r="BH2" s="1"/>
    </row>
    <row r="3" spans="2:60" x14ac:dyDescent="0.35">
      <c r="B3" s="58" t="s">
        <v>138</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C50C30-D0FD-4421-9815-C492DD5F30DD}">
  <sheetPr codeName="Sheet3">
    <tabColor theme="8" tint="0.59999389629810485"/>
  </sheetPr>
  <dimension ref="B2:BA37"/>
  <sheetViews>
    <sheetView showGridLines="0" workbookViewId="0">
      <selection activeCell="D6" sqref="D6"/>
    </sheetView>
  </sheetViews>
  <sheetFormatPr defaultColWidth="6.84375" defaultRowHeight="12" x14ac:dyDescent="0.3"/>
  <cols>
    <col min="1" max="1" width="5.15234375" style="2" customWidth="1"/>
    <col min="2" max="2" width="20.765625" style="2" customWidth="1"/>
    <col min="3" max="3" width="9.23046875" style="2" customWidth="1"/>
    <col min="4" max="4" width="10" style="2" customWidth="1"/>
    <col min="5" max="5" width="10.4609375" style="2" customWidth="1"/>
    <col min="6" max="53" width="6.84375" style="2" customWidth="1"/>
    <col min="54" max="16384" width="6.84375" style="2"/>
  </cols>
  <sheetData>
    <row r="2" spans="2:53" ht="19" x14ac:dyDescent="0.5">
      <c r="B2" s="125" t="s">
        <v>216</v>
      </c>
      <c r="C2" s="126"/>
      <c r="D2" s="126"/>
    </row>
    <row r="3" spans="2:53" x14ac:dyDescent="0.3">
      <c r="C3" s="127"/>
      <c r="D3" s="127"/>
    </row>
    <row r="4" spans="2:53" x14ac:dyDescent="0.3">
      <c r="B4" s="129" t="s">
        <v>217</v>
      </c>
      <c r="C4" s="130"/>
      <c r="D4" s="130"/>
      <c r="E4" s="130"/>
      <c r="F4" s="130"/>
      <c r="G4" s="130"/>
      <c r="H4" s="130"/>
      <c r="I4" s="130"/>
      <c r="J4" s="130"/>
      <c r="K4" s="130"/>
      <c r="L4" s="130"/>
      <c r="M4" s="130"/>
      <c r="N4" s="130"/>
      <c r="O4" s="130"/>
      <c r="P4" s="130"/>
      <c r="Q4" s="130"/>
      <c r="R4" s="130"/>
      <c r="S4" s="130"/>
      <c r="T4" s="130"/>
      <c r="U4" s="130"/>
      <c r="V4" s="130"/>
      <c r="W4" s="130"/>
      <c r="X4" s="130"/>
      <c r="Y4" s="130"/>
      <c r="Z4" s="130"/>
      <c r="AA4" s="130"/>
      <c r="AB4" s="130"/>
      <c r="AC4" s="130"/>
      <c r="AD4" s="130"/>
      <c r="AE4" s="130"/>
      <c r="AF4" s="130"/>
      <c r="AG4" s="130"/>
      <c r="AH4" s="130"/>
      <c r="AI4" s="130"/>
      <c r="AJ4" s="130"/>
      <c r="AK4" s="130"/>
      <c r="AL4" s="130"/>
      <c r="AM4" s="130"/>
      <c r="AN4" s="130"/>
      <c r="AO4" s="130"/>
      <c r="AP4" s="130"/>
      <c r="AQ4" s="130"/>
      <c r="AR4" s="130"/>
      <c r="AS4" s="130"/>
      <c r="AT4" s="130"/>
      <c r="AU4" s="130"/>
      <c r="AV4" s="130"/>
      <c r="AW4" s="130"/>
      <c r="AX4" s="130"/>
      <c r="AY4" s="130"/>
      <c r="AZ4" s="130"/>
      <c r="BA4" s="130"/>
    </row>
    <row r="6" spans="2:53" x14ac:dyDescent="0.3">
      <c r="B6" s="128" t="s">
        <v>218</v>
      </c>
      <c r="C6" s="131" cm="1">
        <f t="array" ref="C6:D6">'I. Control'!D11:E11</f>
        <v>46203</v>
      </c>
      <c r="D6" s="2">
        <v>0</v>
      </c>
    </row>
    <row r="7" spans="2:53" x14ac:dyDescent="0.3">
      <c r="B7" s="2" t="s">
        <v>219</v>
      </c>
      <c r="C7" s="132">
        <v>0.25</v>
      </c>
    </row>
    <row r="8" spans="2:53" x14ac:dyDescent="0.3">
      <c r="B8" s="2" t="s">
        <v>220</v>
      </c>
      <c r="C8" s="132">
        <v>0.25</v>
      </c>
    </row>
    <row r="9" spans="2:53" x14ac:dyDescent="0.3">
      <c r="B9" s="2" t="s">
        <v>221</v>
      </c>
      <c r="C9" s="132">
        <f>-'[2]I.C.O. Group &amp; Entity SCR'!$F$24</f>
        <v>0.25</v>
      </c>
    </row>
    <row r="10" spans="2:53" x14ac:dyDescent="0.3">
      <c r="B10" s="2" t="s">
        <v>222</v>
      </c>
      <c r="C10" s="132">
        <v>0.2</v>
      </c>
    </row>
    <row r="12" spans="2:53" x14ac:dyDescent="0.3">
      <c r="B12" s="133" t="s">
        <v>223</v>
      </c>
      <c r="C12" s="130"/>
      <c r="D12" s="130"/>
    </row>
    <row r="14" spans="2:53" x14ac:dyDescent="0.3">
      <c r="B14" s="2" t="s">
        <v>224</v>
      </c>
      <c r="C14" s="134">
        <v>0.25</v>
      </c>
      <c r="D14" s="2" t="s">
        <v>225</v>
      </c>
    </row>
    <row r="15" spans="2:53" x14ac:dyDescent="0.3">
      <c r="B15" s="2" t="s">
        <v>226</v>
      </c>
      <c r="C15" s="134">
        <v>0.5</v>
      </c>
      <c r="D15" s="2" t="s">
        <v>227</v>
      </c>
    </row>
    <row r="16" spans="2:53" x14ac:dyDescent="0.3">
      <c r="B16" s="2" t="s">
        <v>228</v>
      </c>
      <c r="C16" s="134">
        <v>0.15</v>
      </c>
      <c r="D16" s="2" t="s">
        <v>229</v>
      </c>
    </row>
    <row r="18" spans="2:3" x14ac:dyDescent="0.3">
      <c r="B18" s="133" t="s">
        <v>230</v>
      </c>
      <c r="C18" s="130"/>
    </row>
    <row r="20" spans="2:3" x14ac:dyDescent="0.3">
      <c r="B20" s="2" t="s">
        <v>231</v>
      </c>
      <c r="C20" s="134">
        <v>0.2</v>
      </c>
    </row>
    <row r="22" spans="2:3" x14ac:dyDescent="0.3">
      <c r="B22" s="2" t="s">
        <v>232</v>
      </c>
      <c r="C22" s="134">
        <v>0.25</v>
      </c>
    </row>
    <row r="23" spans="2:3" x14ac:dyDescent="0.3">
      <c r="B23" s="2" t="s">
        <v>233</v>
      </c>
      <c r="C23" s="134">
        <v>0.45</v>
      </c>
    </row>
    <row r="28" spans="2:3" x14ac:dyDescent="0.3">
      <c r="B28" s="2" t="s">
        <v>234</v>
      </c>
      <c r="C28" s="128" t="s">
        <v>235</v>
      </c>
    </row>
    <row r="29" spans="2:3" x14ac:dyDescent="0.3">
      <c r="B29" s="2" t="s">
        <v>236</v>
      </c>
      <c r="C29" s="132">
        <f>'[3]JRL Tax'!$B$16</f>
        <v>0.24</v>
      </c>
    </row>
    <row r="30" spans="2:3" x14ac:dyDescent="0.3">
      <c r="B30" s="2" t="s">
        <v>237</v>
      </c>
      <c r="C30" s="132">
        <v>0</v>
      </c>
    </row>
    <row r="31" spans="2:3" x14ac:dyDescent="0.3">
      <c r="B31" s="2" t="s">
        <v>238</v>
      </c>
      <c r="C31" s="132">
        <f>-'[3]Group Tax'!$F$7</f>
        <v>0.2130475308156744</v>
      </c>
    </row>
    <row r="35" spans="2:3" x14ac:dyDescent="0.3">
      <c r="B35" s="2" t="s">
        <v>239</v>
      </c>
      <c r="C35" s="134">
        <v>1</v>
      </c>
    </row>
    <row r="36" spans="2:3" x14ac:dyDescent="0.3">
      <c r="B36" s="2" t="s">
        <v>240</v>
      </c>
      <c r="C36" s="134">
        <f>1/3</f>
        <v>0.33333333333333331</v>
      </c>
    </row>
    <row r="37" spans="2:3" x14ac:dyDescent="0.3">
      <c r="B37" s="2" t="s">
        <v>241</v>
      </c>
      <c r="C37" s="135">
        <v>0</v>
      </c>
    </row>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3B45C9-B8E4-4ACE-A42D-45B534FBDD52}">
  <sheetPr codeName="Sheet5"/>
  <dimension ref="A1:CVW20"/>
  <sheetViews>
    <sheetView showGridLines="0" workbookViewId="0">
      <pane xSplit="2" ySplit="7" topLeftCell="C8" activePane="bottomRight" state="frozen"/>
      <selection pane="topRight" activeCell="C1" sqref="C1"/>
      <selection pane="bottomLeft" activeCell="A9" sqref="A9"/>
      <selection pane="bottomRight" activeCell="G20" sqref="G20"/>
    </sheetView>
  </sheetViews>
  <sheetFormatPr defaultColWidth="9.23046875" defaultRowHeight="12" x14ac:dyDescent="0.3"/>
  <cols>
    <col min="1" max="1" width="1.84375" style="61" customWidth="1"/>
    <col min="2" max="2" width="12.15234375" style="61" customWidth="1"/>
    <col min="3" max="27" width="10.765625" style="61" customWidth="1"/>
    <col min="28" max="65" width="9.23046875" style="61" customWidth="1"/>
    <col min="66" max="66" width="6.84375" style="61" customWidth="1"/>
    <col min="67" max="115" width="9.23046875" style="61" customWidth="1"/>
    <col min="116" max="116" width="6.84375" style="61" customWidth="1"/>
    <col min="117" max="118" width="9.23046875" style="61"/>
    <col min="119" max="119" width="6.84375" style="61" customWidth="1"/>
    <col min="120" max="168" width="9.23046875" style="61" customWidth="1"/>
    <col min="169" max="169" width="9.23046875" style="61"/>
    <col min="170" max="218" width="9.23046875" style="61" customWidth="1"/>
    <col min="219" max="219" width="6.84375" style="61" customWidth="1"/>
    <col min="220" max="222" width="9.23046875" style="61"/>
    <col min="223" max="1420" width="0" style="61" hidden="1" customWidth="1"/>
    <col min="1421" max="1424" width="9.23046875" style="61"/>
    <col min="1425" max="2622" width="0" style="61" hidden="1" customWidth="1"/>
    <col min="2623" max="16384" width="9.23046875" style="61"/>
  </cols>
  <sheetData>
    <row r="1" spans="1:2623" customFormat="1" ht="14.5" x14ac:dyDescent="0.35"/>
    <row r="2" spans="1:2623" customFormat="1" ht="19" x14ac:dyDescent="0.35">
      <c r="B2" s="1" t="s">
        <v>39</v>
      </c>
      <c r="C2" s="1"/>
      <c r="D2" s="1"/>
      <c r="E2" s="1"/>
      <c r="F2" s="1"/>
      <c r="G2" s="1"/>
      <c r="H2" s="1"/>
      <c r="I2" s="1"/>
      <c r="J2" s="1"/>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1"/>
      <c r="AS2" s="1"/>
      <c r="AT2" s="1"/>
      <c r="AU2" s="1"/>
      <c r="AV2" s="1"/>
      <c r="AW2" s="1"/>
      <c r="AX2" s="1"/>
      <c r="AY2" s="1"/>
      <c r="AZ2" s="1"/>
      <c r="BA2" s="1"/>
      <c r="BB2" s="1"/>
      <c r="BC2" s="1"/>
      <c r="BD2" s="1"/>
      <c r="BE2" s="1"/>
      <c r="BF2" s="1"/>
      <c r="BG2" s="1"/>
      <c r="BH2" s="1"/>
      <c r="BI2" s="1"/>
      <c r="BJ2" s="1"/>
      <c r="BK2" s="1"/>
      <c r="BL2" s="1"/>
      <c r="BM2" s="1"/>
      <c r="BN2" s="1"/>
      <c r="BO2" s="1"/>
      <c r="BP2" s="1"/>
      <c r="BQ2" s="1"/>
      <c r="BR2" s="1"/>
      <c r="BS2" s="1"/>
      <c r="BT2" s="1"/>
      <c r="BU2" s="1"/>
      <c r="BV2" s="1"/>
      <c r="BW2" s="1"/>
      <c r="BX2" s="1"/>
      <c r="BY2" s="1"/>
      <c r="BZ2" s="1"/>
      <c r="CA2" s="1"/>
      <c r="CB2" s="1"/>
      <c r="CC2" s="1"/>
      <c r="CD2" s="1"/>
      <c r="CE2" s="1"/>
      <c r="CF2" s="1"/>
      <c r="CG2" s="1"/>
      <c r="CH2" s="1"/>
      <c r="CI2" s="1"/>
      <c r="CJ2" s="1"/>
      <c r="CK2" s="1"/>
      <c r="CL2" s="1"/>
      <c r="CM2" s="1"/>
      <c r="CN2" s="1"/>
      <c r="CO2" s="1"/>
      <c r="CP2" s="1"/>
      <c r="CQ2" s="1"/>
      <c r="CR2" s="1"/>
      <c r="CS2" s="1"/>
      <c r="CT2" s="1"/>
      <c r="CU2" s="1"/>
      <c r="CV2" s="1"/>
      <c r="CW2" s="1"/>
      <c r="CX2" s="1"/>
      <c r="CY2" s="1"/>
      <c r="CZ2" s="1"/>
      <c r="DA2" s="1"/>
      <c r="DB2" s="1"/>
      <c r="DC2" s="1"/>
      <c r="DD2" s="1"/>
      <c r="DE2" s="1"/>
      <c r="DF2" s="1"/>
      <c r="DG2" s="1"/>
      <c r="DH2" s="1"/>
      <c r="DI2" s="1"/>
      <c r="DJ2" s="1"/>
      <c r="DK2" s="1"/>
      <c r="DL2" s="1"/>
      <c r="DM2" s="1"/>
      <c r="DN2" s="1"/>
      <c r="DO2" s="1"/>
      <c r="DP2" s="1"/>
      <c r="DQ2" s="1"/>
      <c r="DR2" s="1"/>
      <c r="DS2" s="1"/>
      <c r="DT2" s="1"/>
      <c r="DU2" s="1"/>
      <c r="DV2" s="1"/>
      <c r="DW2" s="1"/>
      <c r="DX2" s="1"/>
      <c r="DY2" s="1"/>
      <c r="DZ2" s="1"/>
      <c r="EA2" s="1"/>
      <c r="EB2" s="1"/>
      <c r="EC2" s="1"/>
      <c r="ED2" s="1"/>
      <c r="EE2" s="1"/>
      <c r="EF2" s="1"/>
      <c r="EG2" s="1"/>
      <c r="EH2" s="1"/>
      <c r="EI2" s="1"/>
      <c r="EJ2" s="1"/>
      <c r="EK2" s="1"/>
      <c r="EL2" s="1"/>
      <c r="EM2" s="1"/>
      <c r="EN2" s="1"/>
      <c r="EO2" s="1"/>
      <c r="EP2" s="1"/>
      <c r="EQ2" s="1"/>
      <c r="ER2" s="1"/>
      <c r="ES2" s="1"/>
      <c r="ET2" s="1"/>
      <c r="EU2" s="1"/>
      <c r="EV2" s="1"/>
      <c r="EW2" s="1"/>
      <c r="EX2" s="1"/>
      <c r="EY2" s="1"/>
      <c r="EZ2" s="1"/>
      <c r="FA2" s="1"/>
      <c r="FB2" s="1"/>
      <c r="FC2" s="1"/>
      <c r="FD2" s="1"/>
      <c r="FE2" s="1"/>
      <c r="FF2" s="1"/>
      <c r="FG2" s="1"/>
      <c r="FH2" s="1"/>
      <c r="FI2" s="1"/>
      <c r="FJ2" s="1"/>
      <c r="FK2" s="1"/>
      <c r="FL2" s="1"/>
      <c r="FM2" s="1"/>
      <c r="FN2" s="1"/>
      <c r="FO2" s="1"/>
      <c r="FP2" s="1"/>
      <c r="FQ2" s="1"/>
      <c r="FR2" s="1"/>
      <c r="FS2" s="1"/>
      <c r="FT2" s="1"/>
      <c r="FU2" s="1"/>
      <c r="FV2" s="1"/>
      <c r="FW2" s="1"/>
      <c r="FX2" s="1"/>
      <c r="FY2" s="1"/>
      <c r="FZ2" s="1"/>
      <c r="GA2" s="1"/>
      <c r="GB2" s="1"/>
      <c r="GC2" s="1"/>
      <c r="GD2" s="1"/>
      <c r="GE2" s="1"/>
      <c r="GF2" s="1"/>
      <c r="GG2" s="1"/>
      <c r="GH2" s="1"/>
      <c r="GI2" s="1"/>
      <c r="GJ2" s="1"/>
      <c r="GK2" s="1"/>
      <c r="GL2" s="1"/>
      <c r="GM2" s="1"/>
      <c r="GN2" s="1"/>
      <c r="GO2" s="1"/>
      <c r="GP2" s="1"/>
      <c r="GQ2" s="1"/>
      <c r="GR2" s="1"/>
      <c r="GS2" s="1"/>
      <c r="GT2" s="1"/>
      <c r="GU2" s="1"/>
      <c r="GV2" s="1"/>
      <c r="GW2" s="1"/>
      <c r="GX2" s="1"/>
      <c r="GY2" s="1"/>
      <c r="GZ2" s="1"/>
      <c r="HA2" s="1"/>
      <c r="HB2" s="1"/>
      <c r="HC2" s="1"/>
      <c r="HD2" s="1"/>
      <c r="HE2" s="1"/>
      <c r="HF2" s="1"/>
      <c r="HG2" s="1"/>
      <c r="HH2" s="1"/>
      <c r="HI2" s="1"/>
      <c r="HJ2" s="1"/>
      <c r="HK2" s="1"/>
      <c r="HL2" s="1"/>
      <c r="HM2" s="1"/>
      <c r="HN2" s="1"/>
      <c r="HO2" s="1"/>
      <c r="HP2" s="1"/>
      <c r="HQ2" s="1"/>
      <c r="HR2" s="1"/>
      <c r="HS2" s="1"/>
      <c r="HT2" s="1"/>
      <c r="HU2" s="1"/>
      <c r="HV2" s="1"/>
      <c r="HW2" s="1"/>
      <c r="HX2" s="1"/>
      <c r="HY2" s="1"/>
      <c r="HZ2" s="1"/>
      <c r="IA2" s="1"/>
      <c r="IB2" s="1"/>
      <c r="IC2" s="1"/>
      <c r="ID2" s="1"/>
      <c r="IE2" s="1"/>
      <c r="IF2" s="1"/>
      <c r="IG2" s="1"/>
      <c r="IH2" s="1"/>
      <c r="II2" s="1"/>
      <c r="IJ2" s="1"/>
      <c r="IK2" s="1"/>
      <c r="IL2" s="1"/>
      <c r="IM2" s="1"/>
      <c r="IN2" s="1"/>
      <c r="IO2" s="1"/>
      <c r="IP2" s="1"/>
      <c r="IQ2" s="1"/>
      <c r="IR2" s="1"/>
      <c r="IS2" s="1"/>
      <c r="IT2" s="1"/>
      <c r="IU2" s="1"/>
      <c r="IV2" s="1"/>
      <c r="IW2" s="1"/>
      <c r="IX2" s="1"/>
      <c r="IY2" s="1"/>
      <c r="IZ2" s="1"/>
      <c r="JA2" s="1"/>
      <c r="JB2" s="1"/>
      <c r="JC2" s="1"/>
      <c r="JD2" s="1"/>
      <c r="JE2" s="1"/>
      <c r="JF2" s="1"/>
      <c r="JG2" s="1"/>
      <c r="JH2" s="1"/>
      <c r="JI2" s="1"/>
      <c r="JJ2" s="1"/>
      <c r="JK2" s="1"/>
      <c r="JL2" s="1"/>
      <c r="JM2" s="1"/>
      <c r="JN2" s="1"/>
      <c r="JO2" s="1"/>
      <c r="JP2" s="1"/>
      <c r="JQ2" s="1"/>
      <c r="JR2" s="1"/>
      <c r="JS2" s="1"/>
      <c r="JT2" s="1"/>
      <c r="JU2" s="1"/>
      <c r="JV2" s="1"/>
      <c r="JW2" s="1"/>
      <c r="JX2" s="1"/>
      <c r="JY2" s="1"/>
      <c r="JZ2" s="1"/>
      <c r="KA2" s="1"/>
      <c r="KB2" s="1"/>
      <c r="KC2" s="1"/>
      <c r="KD2" s="1"/>
      <c r="KE2" s="1"/>
      <c r="KF2" s="1"/>
      <c r="KG2" s="1"/>
      <c r="KH2" s="1"/>
      <c r="KI2" s="1"/>
      <c r="KJ2" s="1"/>
      <c r="KK2" s="1"/>
      <c r="KL2" s="1"/>
      <c r="KM2" s="1"/>
      <c r="KN2" s="1"/>
      <c r="KO2" s="1"/>
      <c r="KP2" s="1"/>
      <c r="KQ2" s="1"/>
      <c r="KR2" s="1"/>
      <c r="KS2" s="1"/>
      <c r="KT2" s="1"/>
      <c r="KU2" s="1"/>
      <c r="KV2" s="1"/>
      <c r="KW2" s="1"/>
      <c r="KX2" s="1"/>
      <c r="KY2" s="1"/>
      <c r="KZ2" s="1"/>
      <c r="LA2" s="1"/>
      <c r="LB2" s="1"/>
      <c r="LC2" s="1"/>
      <c r="LD2" s="1"/>
      <c r="LE2" s="1"/>
      <c r="LF2" s="1"/>
      <c r="LG2" s="1"/>
      <c r="LH2" s="1"/>
      <c r="LI2" s="1"/>
      <c r="LJ2" s="1"/>
      <c r="LK2" s="1"/>
      <c r="LL2" s="1"/>
      <c r="LM2" s="1"/>
      <c r="LN2" s="1"/>
      <c r="LO2" s="1"/>
      <c r="LP2" s="1"/>
      <c r="LQ2" s="1"/>
      <c r="LR2" s="1"/>
      <c r="LS2" s="1"/>
      <c r="LT2" s="1"/>
      <c r="LU2" s="1"/>
      <c r="LV2" s="1"/>
      <c r="LW2" s="1"/>
      <c r="LX2" s="1"/>
      <c r="LY2" s="1"/>
      <c r="LZ2" s="1"/>
      <c r="MA2" s="1"/>
      <c r="MB2" s="1"/>
      <c r="MC2" s="1"/>
      <c r="MD2" s="1"/>
      <c r="ME2" s="1"/>
      <c r="MF2" s="1"/>
      <c r="MG2" s="1"/>
      <c r="MH2" s="1"/>
      <c r="MI2" s="1"/>
      <c r="MJ2" s="1"/>
      <c r="MK2" s="1"/>
      <c r="ML2" s="1"/>
      <c r="MM2" s="1"/>
      <c r="MN2" s="1"/>
      <c r="MO2" s="1"/>
      <c r="MP2" s="1"/>
      <c r="MQ2" s="1"/>
      <c r="MR2" s="1"/>
      <c r="MS2" s="1"/>
      <c r="MT2" s="1"/>
      <c r="MU2" s="1"/>
      <c r="MV2" s="1"/>
      <c r="MW2" s="1"/>
      <c r="MX2" s="1"/>
      <c r="MY2" s="1"/>
      <c r="MZ2" s="1"/>
      <c r="NA2" s="1"/>
      <c r="NB2" s="1"/>
      <c r="NC2" s="1"/>
      <c r="ND2" s="1"/>
      <c r="NE2" s="1"/>
      <c r="NF2" s="1"/>
      <c r="NG2" s="1"/>
      <c r="NH2" s="1"/>
      <c r="NI2" s="1"/>
      <c r="NJ2" s="1"/>
      <c r="NK2" s="1"/>
      <c r="NL2" s="1"/>
      <c r="NM2" s="1"/>
      <c r="NN2" s="1"/>
      <c r="NO2" s="1"/>
      <c r="NP2" s="1"/>
      <c r="NQ2" s="1"/>
      <c r="NR2" s="1"/>
      <c r="NS2" s="1"/>
      <c r="NT2" s="1"/>
      <c r="NU2" s="1"/>
      <c r="NV2" s="1"/>
      <c r="NW2" s="1"/>
      <c r="NX2" s="1"/>
      <c r="NY2" s="1"/>
      <c r="NZ2" s="1"/>
      <c r="OA2" s="1"/>
      <c r="OB2" s="1"/>
      <c r="OC2" s="1"/>
      <c r="OD2" s="1"/>
      <c r="OE2" s="1"/>
      <c r="OF2" s="1"/>
      <c r="OG2" s="1"/>
      <c r="OH2" s="1"/>
      <c r="OI2" s="1"/>
      <c r="OJ2" s="1"/>
      <c r="OK2" s="1"/>
      <c r="OL2" s="1"/>
      <c r="OM2" s="1"/>
      <c r="ON2" s="1"/>
      <c r="OO2" s="1"/>
      <c r="OP2" s="1"/>
      <c r="OQ2" s="1"/>
      <c r="OR2" s="1"/>
      <c r="OS2" s="1"/>
      <c r="OT2" s="1"/>
      <c r="OU2" s="1"/>
      <c r="OV2" s="1"/>
      <c r="OW2" s="1"/>
      <c r="OX2" s="1"/>
      <c r="OY2" s="1"/>
      <c r="OZ2" s="1"/>
      <c r="PA2" s="1"/>
      <c r="PB2" s="1"/>
      <c r="PC2" s="1"/>
      <c r="PD2" s="1"/>
      <c r="PE2" s="1"/>
      <c r="PF2" s="1"/>
      <c r="PG2" s="1"/>
      <c r="PH2" s="1"/>
      <c r="PI2" s="1"/>
      <c r="PJ2" s="1"/>
      <c r="PK2" s="1"/>
      <c r="PL2" s="1"/>
      <c r="PM2" s="1"/>
      <c r="PN2" s="1"/>
      <c r="PO2" s="1"/>
      <c r="PP2" s="1"/>
      <c r="PQ2" s="1"/>
      <c r="PR2" s="1"/>
      <c r="PS2" s="1"/>
      <c r="PT2" s="1"/>
      <c r="PU2" s="1"/>
      <c r="PV2" s="1"/>
      <c r="PW2" s="1"/>
      <c r="PX2" s="1"/>
      <c r="PY2" s="1"/>
      <c r="PZ2" s="1"/>
      <c r="QA2" s="1"/>
      <c r="QB2" s="1"/>
      <c r="QC2" s="1"/>
      <c r="QD2" s="1"/>
      <c r="QE2" s="1"/>
      <c r="QF2" s="1"/>
      <c r="QG2" s="1"/>
      <c r="QH2" s="1"/>
      <c r="QI2" s="1"/>
      <c r="QJ2" s="1"/>
      <c r="QK2" s="1"/>
      <c r="QL2" s="1"/>
      <c r="QM2" s="1"/>
      <c r="QN2" s="1"/>
      <c r="QO2" s="1"/>
      <c r="QP2" s="1"/>
      <c r="QQ2" s="1"/>
      <c r="QR2" s="1"/>
      <c r="QS2" s="1"/>
      <c r="QT2" s="1"/>
      <c r="QU2" s="1"/>
      <c r="QV2" s="1"/>
      <c r="QW2" s="1"/>
      <c r="QX2" s="1"/>
      <c r="QY2" s="1"/>
      <c r="QZ2" s="1"/>
      <c r="RA2" s="1"/>
      <c r="RB2" s="1"/>
      <c r="RC2" s="1"/>
      <c r="RD2" s="1"/>
      <c r="RE2" s="1"/>
      <c r="RF2" s="1"/>
      <c r="RG2" s="1"/>
      <c r="RH2" s="1"/>
      <c r="RI2" s="1"/>
      <c r="RJ2" s="1"/>
      <c r="RK2" s="1"/>
      <c r="RL2" s="1"/>
      <c r="RM2" s="1"/>
      <c r="RN2" s="1"/>
      <c r="RO2" s="1"/>
      <c r="RP2" s="1"/>
      <c r="RQ2" s="1"/>
      <c r="RR2" s="1"/>
      <c r="RS2" s="1"/>
      <c r="RT2" s="1"/>
      <c r="RU2" s="1"/>
      <c r="RV2" s="1"/>
      <c r="RW2" s="1"/>
      <c r="RX2" s="1"/>
      <c r="RY2" s="1"/>
      <c r="RZ2" s="1"/>
      <c r="SA2" s="1"/>
      <c r="SB2" s="1"/>
      <c r="SC2" s="1"/>
      <c r="SD2" s="1"/>
      <c r="SE2" s="1"/>
      <c r="SF2" s="1"/>
      <c r="SG2" s="1"/>
      <c r="SH2" s="1"/>
      <c r="SI2" s="1"/>
      <c r="SJ2" s="1"/>
      <c r="SK2" s="1"/>
      <c r="SL2" s="1"/>
      <c r="SM2" s="1"/>
      <c r="SN2" s="1"/>
      <c r="SO2" s="1"/>
      <c r="SP2" s="1"/>
      <c r="SQ2" s="1"/>
      <c r="SR2" s="1"/>
      <c r="SS2" s="1"/>
      <c r="ST2" s="1"/>
      <c r="SU2" s="1"/>
      <c r="SV2" s="1"/>
      <c r="SW2" s="1"/>
      <c r="SX2" s="1"/>
      <c r="SY2" s="1"/>
      <c r="SZ2" s="1"/>
      <c r="TA2" s="1"/>
      <c r="TB2" s="1"/>
      <c r="TC2" s="1"/>
      <c r="TD2" s="1"/>
      <c r="TE2" s="1"/>
      <c r="TF2" s="1"/>
      <c r="TG2" s="1"/>
      <c r="TH2" s="1"/>
      <c r="TI2" s="1"/>
      <c r="TJ2" s="1"/>
      <c r="TK2" s="1"/>
      <c r="TL2" s="1"/>
      <c r="TM2" s="1"/>
      <c r="TN2" s="1"/>
      <c r="TO2" s="1"/>
      <c r="TP2" s="1"/>
      <c r="TQ2" s="1"/>
      <c r="TR2" s="1"/>
      <c r="TS2" s="1"/>
      <c r="TT2" s="1"/>
      <c r="TU2" s="1"/>
      <c r="TV2" s="1"/>
      <c r="TW2" s="1"/>
      <c r="TX2" s="1"/>
      <c r="TY2" s="1"/>
      <c r="TZ2" s="1"/>
      <c r="UA2" s="1"/>
      <c r="UB2" s="1"/>
      <c r="UC2" s="1"/>
      <c r="UD2" s="1"/>
      <c r="UE2" s="1"/>
      <c r="UF2" s="1"/>
      <c r="UG2" s="1"/>
      <c r="UH2" s="1"/>
      <c r="UI2" s="1"/>
      <c r="UJ2" s="1"/>
      <c r="UK2" s="1"/>
      <c r="UL2" s="1"/>
      <c r="UM2" s="1"/>
      <c r="UN2" s="1"/>
      <c r="UO2" s="1"/>
      <c r="UP2" s="1"/>
      <c r="UQ2" s="1"/>
      <c r="UR2" s="1"/>
      <c r="US2" s="1"/>
      <c r="UT2" s="1"/>
      <c r="UU2" s="1"/>
      <c r="UV2" s="1"/>
      <c r="UW2" s="1"/>
      <c r="UX2" s="1"/>
      <c r="UY2" s="1"/>
      <c r="UZ2" s="1"/>
      <c r="VA2" s="1"/>
      <c r="VB2" s="1"/>
      <c r="VC2" s="1"/>
      <c r="VD2" s="1"/>
      <c r="VE2" s="1"/>
      <c r="VF2" s="1"/>
      <c r="VG2" s="1"/>
      <c r="VH2" s="1"/>
      <c r="VI2" s="1"/>
      <c r="VJ2" s="1"/>
      <c r="VK2" s="1"/>
      <c r="VL2" s="1"/>
      <c r="VM2" s="1"/>
      <c r="VN2" s="1"/>
      <c r="VO2" s="1"/>
      <c r="VP2" s="1"/>
      <c r="VQ2" s="1"/>
      <c r="VR2" s="1"/>
      <c r="VS2" s="1"/>
      <c r="VT2" s="1"/>
      <c r="VU2" s="1"/>
      <c r="VV2" s="1"/>
      <c r="VW2" s="1"/>
      <c r="VX2" s="1"/>
      <c r="VY2" s="1"/>
      <c r="VZ2" s="1"/>
      <c r="WA2" s="1"/>
      <c r="WB2" s="1"/>
      <c r="WC2" s="1"/>
      <c r="WD2" s="1"/>
      <c r="WE2" s="1"/>
      <c r="WF2" s="1"/>
      <c r="WG2" s="1"/>
      <c r="WH2" s="1"/>
      <c r="WI2" s="1"/>
      <c r="WJ2" s="1"/>
      <c r="WK2" s="1"/>
      <c r="WL2" s="1"/>
      <c r="WM2" s="1"/>
      <c r="WN2" s="1"/>
      <c r="WO2" s="1"/>
      <c r="WP2" s="1"/>
      <c r="WQ2" s="1"/>
      <c r="WR2" s="1"/>
      <c r="WS2" s="1"/>
      <c r="WT2" s="1"/>
      <c r="WU2" s="1"/>
      <c r="WV2" s="1"/>
      <c r="WW2" s="1"/>
      <c r="WX2" s="1"/>
      <c r="WY2" s="1"/>
      <c r="WZ2" s="1"/>
      <c r="XA2" s="1"/>
      <c r="XB2" s="1"/>
      <c r="XC2" s="1"/>
      <c r="XD2" s="1"/>
      <c r="XE2" s="1"/>
      <c r="XF2" s="1"/>
      <c r="XG2" s="1"/>
      <c r="XH2" s="1"/>
      <c r="XI2" s="1"/>
      <c r="XJ2" s="1"/>
      <c r="XK2" s="1"/>
      <c r="XL2" s="1"/>
      <c r="XM2" s="1"/>
      <c r="XN2" s="1"/>
      <c r="XO2" s="1"/>
      <c r="XP2" s="1"/>
      <c r="XQ2" s="1"/>
      <c r="XR2" s="1"/>
      <c r="XS2" s="1"/>
      <c r="XT2" s="1"/>
      <c r="XU2" s="1"/>
      <c r="XV2" s="1"/>
      <c r="XW2" s="1"/>
      <c r="XX2" s="1"/>
      <c r="XY2" s="1"/>
      <c r="XZ2" s="1"/>
      <c r="YA2" s="1"/>
      <c r="YB2" s="1"/>
      <c r="YC2" s="1"/>
      <c r="YD2" s="1"/>
      <c r="YE2" s="1"/>
      <c r="YF2" s="1"/>
      <c r="YG2" s="1"/>
      <c r="YH2" s="1"/>
      <c r="YI2" s="1"/>
      <c r="YJ2" s="1"/>
      <c r="YK2" s="1"/>
      <c r="YL2" s="1"/>
      <c r="YM2" s="1"/>
      <c r="YN2" s="1"/>
      <c r="YO2" s="1"/>
      <c r="YP2" s="1"/>
      <c r="YQ2" s="1"/>
      <c r="YR2" s="1"/>
      <c r="YS2" s="1"/>
      <c r="YT2" s="1"/>
      <c r="YU2" s="1"/>
      <c r="YV2" s="1"/>
      <c r="YW2" s="1"/>
      <c r="YX2" s="1"/>
      <c r="YY2" s="1"/>
      <c r="YZ2" s="1"/>
      <c r="ZA2" s="1"/>
      <c r="ZB2" s="1"/>
      <c r="ZC2" s="1"/>
      <c r="ZD2" s="1"/>
      <c r="ZE2" s="1"/>
      <c r="ZF2" s="1"/>
      <c r="ZG2" s="1"/>
      <c r="ZH2" s="1"/>
      <c r="ZI2" s="1"/>
      <c r="ZJ2" s="1"/>
      <c r="ZK2" s="1"/>
      <c r="ZL2" s="1"/>
      <c r="ZM2" s="1"/>
      <c r="ZN2" s="1"/>
      <c r="ZO2" s="1"/>
      <c r="ZP2" s="1"/>
      <c r="ZQ2" s="1"/>
      <c r="ZR2" s="1"/>
      <c r="ZS2" s="1"/>
      <c r="ZT2" s="1"/>
      <c r="ZU2" s="1"/>
      <c r="ZV2" s="1"/>
      <c r="ZW2" s="1"/>
      <c r="ZX2" s="1"/>
      <c r="ZY2" s="1"/>
      <c r="ZZ2" s="1"/>
      <c r="AAA2" s="1"/>
      <c r="AAB2" s="1"/>
      <c r="AAC2" s="1"/>
      <c r="AAD2" s="1"/>
      <c r="AAE2" s="1"/>
      <c r="AAF2" s="1"/>
      <c r="AAG2" s="1"/>
      <c r="AAH2" s="1"/>
      <c r="AAI2" s="1"/>
      <c r="AAJ2" s="1"/>
      <c r="AAK2" s="1"/>
      <c r="AAL2" s="1"/>
      <c r="AAM2" s="1"/>
      <c r="AAN2" s="1"/>
      <c r="AAO2" s="1"/>
      <c r="AAP2" s="1"/>
      <c r="AAQ2" s="1"/>
      <c r="AAR2" s="1"/>
      <c r="AAS2" s="1"/>
      <c r="AAT2" s="1"/>
      <c r="AAU2" s="1"/>
      <c r="AAV2" s="1"/>
      <c r="AAW2" s="1"/>
      <c r="AAX2" s="1"/>
      <c r="AAY2" s="1"/>
      <c r="AAZ2" s="1"/>
      <c r="ABA2" s="1"/>
      <c r="ABB2" s="1"/>
      <c r="ABC2" s="1"/>
      <c r="ABD2" s="1"/>
      <c r="ABE2" s="1"/>
      <c r="ABF2" s="1"/>
      <c r="ABG2" s="1"/>
      <c r="ABH2" s="1"/>
      <c r="ABI2" s="1"/>
      <c r="ABJ2" s="1"/>
      <c r="ABK2" s="1"/>
      <c r="ABL2" s="1"/>
      <c r="ABM2" s="1"/>
      <c r="ABN2" s="1"/>
      <c r="ABO2" s="1"/>
      <c r="ABP2" s="1"/>
      <c r="ABQ2" s="1"/>
      <c r="ABR2" s="1"/>
      <c r="ABS2" s="1"/>
      <c r="ABT2" s="1"/>
      <c r="ABU2" s="1"/>
      <c r="ABV2" s="1"/>
      <c r="ABW2" s="1"/>
      <c r="ABX2" s="1"/>
      <c r="ABY2" s="1"/>
      <c r="ABZ2" s="1"/>
      <c r="ACA2" s="1"/>
      <c r="ACB2" s="1"/>
      <c r="ACC2" s="1"/>
      <c r="ACD2" s="1"/>
      <c r="ACE2" s="1"/>
      <c r="ACF2" s="1"/>
      <c r="ACG2" s="1"/>
      <c r="ACH2" s="1"/>
      <c r="ACI2" s="1"/>
      <c r="ACJ2" s="1"/>
      <c r="ACK2" s="1"/>
      <c r="ACL2" s="1"/>
      <c r="ACM2" s="1"/>
      <c r="ACN2" s="1"/>
      <c r="ACO2" s="1"/>
      <c r="ACP2" s="1"/>
      <c r="ACQ2" s="1"/>
      <c r="ACR2" s="1"/>
      <c r="ACS2" s="1"/>
      <c r="ACT2" s="1"/>
      <c r="ACU2" s="1"/>
      <c r="ACV2" s="1"/>
      <c r="ACW2" s="1"/>
      <c r="ACX2" s="1"/>
      <c r="ACY2" s="1"/>
      <c r="ACZ2" s="1"/>
      <c r="ADA2" s="1"/>
      <c r="ADB2" s="1"/>
      <c r="ADC2" s="1"/>
      <c r="ADD2" s="1"/>
      <c r="ADE2" s="1"/>
      <c r="ADF2" s="1"/>
      <c r="ADG2" s="1"/>
      <c r="ADH2" s="1"/>
      <c r="ADI2" s="1"/>
      <c r="ADJ2" s="1"/>
      <c r="ADK2" s="1"/>
      <c r="ADL2" s="1"/>
      <c r="ADM2" s="1"/>
      <c r="ADN2" s="1"/>
      <c r="ADO2" s="1"/>
      <c r="ADP2" s="1"/>
      <c r="ADQ2" s="1"/>
      <c r="ADR2" s="1"/>
      <c r="ADS2" s="1"/>
      <c r="ADT2" s="1"/>
      <c r="ADU2" s="1"/>
      <c r="ADV2" s="1"/>
      <c r="ADW2" s="1"/>
      <c r="ADX2" s="1"/>
      <c r="ADY2" s="1"/>
      <c r="ADZ2" s="1"/>
      <c r="AEA2" s="1"/>
      <c r="AEB2" s="1"/>
      <c r="AEC2" s="1"/>
      <c r="AED2" s="1"/>
      <c r="AEE2" s="1"/>
      <c r="AEF2" s="1"/>
      <c r="AEG2" s="1"/>
      <c r="AEH2" s="1"/>
      <c r="AEI2" s="1"/>
      <c r="AEJ2" s="1"/>
      <c r="AEK2" s="1"/>
      <c r="AEL2" s="1"/>
      <c r="AEM2" s="1"/>
      <c r="AEN2" s="1"/>
      <c r="AEO2" s="1"/>
      <c r="AEP2" s="1"/>
      <c r="AEQ2" s="1"/>
      <c r="AER2" s="1"/>
      <c r="AES2" s="1"/>
      <c r="AET2" s="1"/>
      <c r="AEU2" s="1"/>
      <c r="AEV2" s="1"/>
      <c r="AEW2" s="1"/>
      <c r="AEX2" s="1"/>
      <c r="AEY2" s="1"/>
      <c r="AEZ2" s="1"/>
      <c r="AFA2" s="1"/>
      <c r="AFB2" s="1"/>
      <c r="AFC2" s="1"/>
      <c r="AFD2" s="1"/>
      <c r="AFE2" s="1"/>
      <c r="AFF2" s="1"/>
      <c r="AFG2" s="1"/>
      <c r="AFH2" s="1"/>
      <c r="AFI2" s="1"/>
      <c r="AFJ2" s="1"/>
      <c r="AFK2" s="1"/>
      <c r="AFL2" s="1"/>
      <c r="AFM2" s="1"/>
      <c r="AFN2" s="1"/>
      <c r="AFO2" s="1"/>
      <c r="AFP2" s="1"/>
      <c r="AFQ2" s="1"/>
      <c r="AFR2" s="1"/>
      <c r="AFS2" s="1"/>
      <c r="AFT2" s="1"/>
      <c r="AFU2" s="1"/>
      <c r="AFV2" s="1"/>
      <c r="AFW2" s="1"/>
      <c r="AFX2" s="1"/>
      <c r="AFY2" s="1"/>
      <c r="AFZ2" s="1"/>
      <c r="AGA2" s="1"/>
      <c r="AGB2" s="1"/>
      <c r="AGC2" s="1"/>
      <c r="AGD2" s="1"/>
      <c r="AGE2" s="1"/>
      <c r="AGF2" s="1"/>
      <c r="AGG2" s="1"/>
      <c r="AGH2" s="1"/>
      <c r="AGI2" s="1"/>
      <c r="AGJ2" s="1"/>
      <c r="AGK2" s="1"/>
      <c r="AGL2" s="1"/>
      <c r="AGM2" s="1"/>
      <c r="AGN2" s="1"/>
      <c r="AGO2" s="1"/>
      <c r="AGP2" s="1"/>
      <c r="AGQ2" s="1"/>
      <c r="AGR2" s="1"/>
      <c r="AGS2" s="1"/>
      <c r="AGT2" s="1"/>
      <c r="AGU2" s="1"/>
      <c r="AGV2" s="1"/>
      <c r="AGW2" s="1"/>
      <c r="AGX2" s="1"/>
      <c r="AGY2" s="1"/>
      <c r="AGZ2" s="1"/>
      <c r="AHA2" s="1"/>
      <c r="AHB2" s="1"/>
      <c r="AHC2" s="1"/>
      <c r="AHD2" s="1"/>
      <c r="AHE2" s="1"/>
      <c r="AHF2" s="1"/>
      <c r="AHG2" s="1"/>
      <c r="AHH2" s="1"/>
      <c r="AHI2" s="1"/>
      <c r="AHJ2" s="1"/>
      <c r="AHK2" s="1"/>
      <c r="AHL2" s="1"/>
      <c r="AHM2" s="1"/>
      <c r="AHN2" s="1"/>
      <c r="AHO2" s="1"/>
      <c r="AHP2" s="1"/>
      <c r="AHQ2" s="1"/>
      <c r="AHR2" s="1"/>
      <c r="AHS2" s="1"/>
      <c r="AHT2" s="1"/>
      <c r="AHU2" s="1"/>
      <c r="AHV2" s="1"/>
      <c r="AHW2" s="1"/>
      <c r="AHX2" s="1"/>
      <c r="AHY2" s="1"/>
      <c r="AHZ2" s="1"/>
      <c r="AIA2" s="1"/>
      <c r="AIB2" s="1"/>
      <c r="AIC2" s="1"/>
      <c r="AID2" s="1"/>
      <c r="AIE2" s="1"/>
      <c r="AIF2" s="1"/>
      <c r="AIG2" s="1"/>
      <c r="AIH2" s="1"/>
      <c r="AII2" s="1"/>
      <c r="AIJ2" s="1"/>
      <c r="AIK2" s="1"/>
      <c r="AIL2" s="1"/>
      <c r="AIM2" s="1"/>
      <c r="AIN2" s="1"/>
      <c r="AIO2" s="1"/>
      <c r="AIP2" s="1"/>
      <c r="AIQ2" s="1"/>
      <c r="AIR2" s="1"/>
      <c r="AIS2" s="1"/>
      <c r="AIT2" s="1"/>
      <c r="AIU2" s="1"/>
      <c r="AIV2" s="1"/>
      <c r="AIW2" s="1"/>
      <c r="AIX2" s="1"/>
      <c r="AIY2" s="1"/>
      <c r="AIZ2" s="1"/>
      <c r="AJA2" s="1"/>
      <c r="AJB2" s="1"/>
      <c r="AJC2" s="1"/>
      <c r="AJD2" s="1"/>
      <c r="AJE2" s="1"/>
      <c r="AJF2" s="1"/>
      <c r="AJG2" s="1"/>
      <c r="AJH2" s="1"/>
      <c r="AJI2" s="1"/>
      <c r="AJJ2" s="1"/>
      <c r="AJK2" s="1"/>
      <c r="AJL2" s="1"/>
      <c r="AJM2" s="1"/>
      <c r="AJN2" s="1"/>
      <c r="AJO2" s="1"/>
      <c r="AJP2" s="1"/>
      <c r="AJQ2" s="1"/>
      <c r="AJR2" s="1"/>
      <c r="AJS2" s="1"/>
      <c r="AJT2" s="1"/>
      <c r="AJU2" s="1"/>
      <c r="AJV2" s="1"/>
      <c r="AJW2" s="1"/>
      <c r="AJX2" s="1"/>
      <c r="AJY2" s="1"/>
      <c r="AJZ2" s="1"/>
      <c r="AKA2" s="1"/>
      <c r="AKB2" s="1"/>
      <c r="AKC2" s="1"/>
      <c r="AKD2" s="1"/>
      <c r="AKE2" s="1"/>
      <c r="AKF2" s="1"/>
      <c r="AKG2" s="1"/>
      <c r="AKH2" s="1"/>
      <c r="AKI2" s="1"/>
      <c r="AKJ2" s="1"/>
      <c r="AKK2" s="1"/>
      <c r="AKL2" s="1"/>
      <c r="AKM2" s="1"/>
      <c r="AKN2" s="1"/>
      <c r="AKO2" s="1"/>
      <c r="AKP2" s="1"/>
      <c r="AKQ2" s="1"/>
      <c r="AKR2" s="1"/>
      <c r="AKS2" s="1"/>
      <c r="AKT2" s="1"/>
      <c r="AKU2" s="1"/>
      <c r="AKV2" s="1"/>
      <c r="AKW2" s="1"/>
      <c r="AKX2" s="1"/>
      <c r="AKY2" s="1"/>
      <c r="AKZ2" s="1"/>
      <c r="ALA2" s="1"/>
      <c r="ALB2" s="1"/>
      <c r="ALC2" s="1"/>
      <c r="ALD2" s="1"/>
      <c r="ALE2" s="1"/>
      <c r="ALF2" s="1"/>
      <c r="ALG2" s="1"/>
      <c r="ALH2" s="1"/>
      <c r="ALI2" s="1"/>
      <c r="ALJ2" s="1"/>
      <c r="ALK2" s="1"/>
      <c r="ALL2" s="1"/>
      <c r="ALM2" s="1"/>
      <c r="ALN2" s="1"/>
      <c r="ALO2" s="1"/>
      <c r="ALP2" s="1"/>
      <c r="ALQ2" s="1"/>
      <c r="ALR2" s="1"/>
      <c r="ALS2" s="1"/>
      <c r="ALT2" s="1"/>
      <c r="ALU2" s="1"/>
      <c r="ALV2" s="1"/>
      <c r="ALW2" s="1"/>
      <c r="ALX2" s="1"/>
      <c r="ALY2" s="1"/>
      <c r="ALZ2" s="1"/>
      <c r="AMA2" s="1"/>
      <c r="AMB2" s="1"/>
      <c r="AMC2" s="1"/>
      <c r="AMD2" s="1"/>
      <c r="AME2" s="1"/>
      <c r="AMF2" s="1"/>
      <c r="AMG2" s="1"/>
      <c r="AMH2" s="1"/>
      <c r="AMI2" s="1"/>
      <c r="AMJ2" s="1"/>
      <c r="AMK2" s="1"/>
      <c r="AML2" s="1"/>
      <c r="AMM2" s="1"/>
      <c r="AMN2" s="1"/>
      <c r="AMO2" s="1"/>
      <c r="AMP2" s="1"/>
      <c r="AMQ2" s="1"/>
      <c r="AMR2" s="1"/>
      <c r="AMS2" s="1"/>
      <c r="AMT2" s="1"/>
      <c r="AMU2" s="1"/>
      <c r="AMV2" s="1"/>
      <c r="AMW2" s="1"/>
      <c r="AMX2" s="1"/>
      <c r="AMY2" s="1"/>
      <c r="AMZ2" s="1"/>
      <c r="ANA2" s="1"/>
      <c r="ANB2" s="1"/>
      <c r="ANC2" s="1"/>
      <c r="AND2" s="1"/>
      <c r="ANE2" s="1"/>
      <c r="ANF2" s="1"/>
      <c r="ANG2" s="1"/>
      <c r="ANH2" s="1"/>
      <c r="ANI2" s="1"/>
      <c r="ANJ2" s="1"/>
      <c r="ANK2" s="1"/>
      <c r="ANL2" s="1"/>
      <c r="ANM2" s="1"/>
      <c r="ANN2" s="1"/>
      <c r="ANO2" s="1"/>
      <c r="ANP2" s="1"/>
      <c r="ANQ2" s="1"/>
      <c r="ANR2" s="1"/>
      <c r="ANS2" s="1"/>
      <c r="ANT2" s="1"/>
      <c r="ANU2" s="1"/>
      <c r="ANV2" s="1"/>
      <c r="ANW2" s="1"/>
      <c r="ANX2" s="1"/>
      <c r="ANY2" s="1"/>
      <c r="ANZ2" s="1"/>
      <c r="AOA2" s="1"/>
      <c r="AOB2" s="1"/>
      <c r="AOC2" s="1"/>
      <c r="AOD2" s="1"/>
      <c r="AOE2" s="1"/>
      <c r="AOF2" s="1"/>
      <c r="AOG2" s="1"/>
      <c r="AOH2" s="1"/>
      <c r="AOI2" s="1"/>
      <c r="AOJ2" s="1"/>
      <c r="AOK2" s="1"/>
      <c r="AOL2" s="1"/>
      <c r="AOM2" s="1"/>
      <c r="AON2" s="1"/>
      <c r="AOO2" s="1"/>
      <c r="AOP2" s="1"/>
      <c r="AOQ2" s="1"/>
      <c r="AOR2" s="1"/>
      <c r="AOS2" s="1"/>
      <c r="AOT2" s="1"/>
      <c r="AOU2" s="1"/>
      <c r="AOV2" s="1"/>
      <c r="AOW2" s="1"/>
      <c r="AOX2" s="1"/>
      <c r="AOY2" s="1"/>
      <c r="AOZ2" s="1"/>
      <c r="APA2" s="1"/>
      <c r="APB2" s="1"/>
      <c r="APC2" s="1"/>
      <c r="APD2" s="1"/>
      <c r="APE2" s="1"/>
      <c r="APF2" s="1"/>
      <c r="APG2" s="1"/>
      <c r="APH2" s="1"/>
      <c r="API2" s="1"/>
      <c r="APJ2" s="1"/>
      <c r="APK2" s="1"/>
      <c r="APL2" s="1"/>
      <c r="APM2" s="1"/>
      <c r="APN2" s="1"/>
      <c r="APO2" s="1"/>
      <c r="APP2" s="1"/>
      <c r="APQ2" s="1"/>
      <c r="APR2" s="1"/>
      <c r="APS2" s="1"/>
      <c r="APT2" s="1"/>
      <c r="APU2" s="1"/>
      <c r="APV2" s="1"/>
      <c r="APW2" s="1"/>
      <c r="APX2" s="1"/>
      <c r="APY2" s="1"/>
      <c r="APZ2" s="1"/>
      <c r="AQA2" s="1"/>
      <c r="AQB2" s="1"/>
      <c r="AQC2" s="1"/>
      <c r="AQD2" s="1"/>
      <c r="AQE2" s="1"/>
      <c r="AQF2" s="1"/>
      <c r="AQG2" s="1"/>
      <c r="AQH2" s="1"/>
      <c r="AQI2" s="1"/>
      <c r="AQJ2" s="1"/>
      <c r="AQK2" s="1"/>
      <c r="AQL2" s="1"/>
      <c r="AQM2" s="1"/>
      <c r="AQN2" s="1"/>
      <c r="AQO2" s="1"/>
      <c r="AQP2" s="1"/>
      <c r="AQQ2" s="1"/>
      <c r="AQR2" s="1"/>
      <c r="AQS2" s="1"/>
      <c r="AQT2" s="1"/>
      <c r="AQU2" s="1"/>
      <c r="AQV2" s="1"/>
      <c r="AQW2" s="1"/>
      <c r="AQX2" s="1"/>
      <c r="AQY2" s="1"/>
      <c r="AQZ2" s="1"/>
      <c r="ARA2" s="1"/>
      <c r="ARB2" s="1"/>
      <c r="ARC2" s="1"/>
      <c r="ARD2" s="1"/>
      <c r="ARE2" s="1"/>
      <c r="ARF2" s="1"/>
      <c r="ARG2" s="1"/>
      <c r="ARH2" s="1"/>
      <c r="ARI2" s="1"/>
      <c r="ARJ2" s="1"/>
      <c r="ARK2" s="1"/>
      <c r="ARL2" s="1"/>
      <c r="ARM2" s="1"/>
      <c r="ARN2" s="1"/>
      <c r="ARO2" s="1"/>
      <c r="ARP2" s="1"/>
      <c r="ARQ2" s="1"/>
      <c r="ARR2" s="1"/>
      <c r="ARS2" s="1"/>
      <c r="ART2" s="1"/>
      <c r="ARU2" s="1"/>
      <c r="ARV2" s="1"/>
      <c r="ARW2" s="1"/>
      <c r="ARX2" s="1"/>
      <c r="ARY2" s="1"/>
      <c r="ARZ2" s="1"/>
      <c r="ASA2" s="1"/>
      <c r="ASB2" s="1"/>
      <c r="ASC2" s="1"/>
      <c r="ASD2" s="1"/>
      <c r="ASE2" s="1"/>
      <c r="ASF2" s="1"/>
      <c r="ASG2" s="1"/>
      <c r="ASH2" s="1"/>
      <c r="ASI2" s="1"/>
      <c r="ASJ2" s="1"/>
      <c r="ASK2" s="1"/>
      <c r="ASL2" s="1"/>
      <c r="ASM2" s="1"/>
      <c r="ASN2" s="1"/>
      <c r="ASO2" s="1"/>
      <c r="ASP2" s="1"/>
      <c r="ASQ2" s="1"/>
      <c r="ASR2" s="1"/>
      <c r="ASS2" s="1"/>
      <c r="AST2" s="1"/>
      <c r="ASU2" s="1"/>
      <c r="ASV2" s="1"/>
      <c r="ASW2" s="1"/>
      <c r="ASX2" s="1"/>
      <c r="ASY2" s="1"/>
      <c r="ASZ2" s="1"/>
      <c r="ATA2" s="1"/>
      <c r="ATB2" s="1"/>
      <c r="ATC2" s="1"/>
      <c r="ATD2" s="1"/>
      <c r="ATE2" s="1"/>
      <c r="ATF2" s="1"/>
      <c r="ATG2" s="1"/>
      <c r="ATH2" s="1"/>
      <c r="ATI2" s="1"/>
      <c r="ATJ2" s="1"/>
      <c r="ATK2" s="1"/>
      <c r="ATL2" s="1"/>
      <c r="ATM2" s="1"/>
      <c r="ATN2" s="1"/>
      <c r="ATO2" s="1"/>
      <c r="ATP2" s="1"/>
      <c r="ATQ2" s="1"/>
      <c r="ATR2" s="1"/>
      <c r="ATS2" s="1"/>
      <c r="ATT2" s="1"/>
      <c r="ATU2" s="1"/>
      <c r="ATV2" s="1"/>
      <c r="ATW2" s="1"/>
      <c r="ATX2" s="1"/>
      <c r="ATY2" s="1"/>
      <c r="ATZ2" s="1"/>
      <c r="AUA2" s="1"/>
      <c r="AUB2" s="1"/>
      <c r="AUC2" s="1"/>
      <c r="AUD2" s="1"/>
      <c r="AUE2" s="1"/>
      <c r="AUF2" s="1"/>
      <c r="AUG2" s="1"/>
      <c r="AUH2" s="1"/>
      <c r="AUI2" s="1"/>
      <c r="AUJ2" s="1"/>
      <c r="AUK2" s="1"/>
      <c r="AUL2" s="1"/>
      <c r="AUM2" s="1"/>
      <c r="AUN2" s="1"/>
      <c r="AUO2" s="1"/>
      <c r="AUP2" s="1"/>
      <c r="AUQ2" s="1"/>
      <c r="AUR2" s="1"/>
      <c r="AUS2" s="1"/>
      <c r="AUT2" s="1"/>
      <c r="AUU2" s="1"/>
      <c r="AUV2" s="1"/>
      <c r="AUW2" s="1"/>
      <c r="AUX2" s="1"/>
      <c r="AUY2" s="1"/>
      <c r="AUZ2" s="1"/>
      <c r="AVA2" s="1"/>
      <c r="AVB2" s="1"/>
      <c r="AVC2" s="1"/>
      <c r="AVD2" s="1"/>
      <c r="AVE2" s="1"/>
      <c r="AVF2" s="1"/>
      <c r="AVG2" s="1"/>
      <c r="AVH2" s="1"/>
      <c r="AVI2" s="1"/>
      <c r="AVJ2" s="1"/>
      <c r="AVK2" s="1"/>
      <c r="AVL2" s="1"/>
      <c r="AVM2" s="1"/>
      <c r="AVN2" s="1"/>
      <c r="AVO2" s="1"/>
      <c r="AVP2" s="1"/>
      <c r="AVQ2" s="1"/>
      <c r="AVR2" s="1"/>
      <c r="AVS2" s="1"/>
      <c r="AVT2" s="1"/>
      <c r="AVU2" s="1"/>
      <c r="AVV2" s="1"/>
      <c r="AVW2" s="1"/>
      <c r="AVX2" s="1"/>
      <c r="AVY2" s="1"/>
      <c r="AVZ2" s="1"/>
      <c r="AWA2" s="1"/>
      <c r="AWB2" s="1"/>
      <c r="AWC2" s="1"/>
      <c r="AWD2" s="1"/>
      <c r="AWE2" s="1"/>
      <c r="AWF2" s="1"/>
      <c r="AWG2" s="1"/>
      <c r="AWH2" s="1"/>
      <c r="AWI2" s="1"/>
      <c r="AWJ2" s="1"/>
      <c r="AWK2" s="1"/>
      <c r="AWL2" s="1"/>
      <c r="AWM2" s="1"/>
      <c r="AWN2" s="1"/>
      <c r="AWO2" s="1"/>
      <c r="AWP2" s="1"/>
      <c r="AWQ2" s="1"/>
      <c r="AWR2" s="1"/>
      <c r="AWS2" s="1"/>
      <c r="AWT2" s="1"/>
      <c r="AWU2" s="1"/>
      <c r="AWV2" s="1"/>
      <c r="AWW2" s="1"/>
      <c r="AWX2" s="1"/>
      <c r="AWY2" s="1"/>
      <c r="AWZ2" s="1"/>
      <c r="AXA2" s="1"/>
      <c r="AXB2" s="1"/>
      <c r="AXC2" s="1"/>
      <c r="AXD2" s="1"/>
      <c r="AXE2" s="1"/>
      <c r="AXF2" s="1"/>
      <c r="AXG2" s="1"/>
      <c r="AXH2" s="1"/>
      <c r="AXI2" s="1"/>
      <c r="AXJ2" s="1"/>
      <c r="AXK2" s="1"/>
      <c r="AXL2" s="1"/>
      <c r="AXM2" s="1"/>
      <c r="AXN2" s="1"/>
      <c r="AXO2" s="1"/>
      <c r="AXP2" s="1"/>
      <c r="AXQ2" s="1"/>
      <c r="AXR2" s="1"/>
      <c r="AXS2" s="1"/>
      <c r="AXT2" s="1"/>
      <c r="AXU2" s="1"/>
      <c r="AXV2" s="1"/>
      <c r="AXW2" s="1"/>
      <c r="AXX2" s="1"/>
      <c r="AXY2" s="1"/>
      <c r="AXZ2" s="1"/>
      <c r="AYA2" s="1"/>
      <c r="AYB2" s="1"/>
      <c r="AYC2" s="1"/>
      <c r="AYD2" s="1"/>
      <c r="AYE2" s="1"/>
      <c r="AYF2" s="1"/>
      <c r="AYG2" s="1"/>
      <c r="AYH2" s="1"/>
      <c r="AYI2" s="1"/>
      <c r="AYJ2" s="1"/>
      <c r="AYK2" s="1"/>
      <c r="AYL2" s="1"/>
      <c r="AYM2" s="1"/>
      <c r="AYN2" s="1"/>
      <c r="AYO2" s="1"/>
      <c r="AYP2" s="1"/>
      <c r="AYQ2" s="1"/>
      <c r="AYR2" s="1"/>
      <c r="AYS2" s="1"/>
      <c r="AYT2" s="1"/>
      <c r="AYU2" s="1"/>
      <c r="AYV2" s="1"/>
      <c r="AYW2" s="1"/>
      <c r="AYX2" s="1"/>
      <c r="AYY2" s="1"/>
      <c r="AYZ2" s="1"/>
      <c r="AZA2" s="1"/>
      <c r="AZB2" s="1"/>
      <c r="AZC2" s="1"/>
      <c r="AZD2" s="1"/>
      <c r="AZE2" s="1"/>
      <c r="AZF2" s="1"/>
      <c r="AZG2" s="1"/>
      <c r="AZH2" s="1"/>
      <c r="AZI2" s="1"/>
      <c r="AZJ2" s="1"/>
      <c r="AZK2" s="1"/>
      <c r="AZL2" s="1"/>
      <c r="AZM2" s="1"/>
      <c r="AZN2" s="1"/>
      <c r="AZO2" s="1"/>
      <c r="AZP2" s="1"/>
      <c r="AZQ2" s="1"/>
      <c r="AZR2" s="1"/>
      <c r="AZS2" s="1"/>
      <c r="AZT2" s="1"/>
      <c r="AZU2" s="1"/>
      <c r="AZV2" s="1"/>
      <c r="AZW2" s="1"/>
      <c r="AZX2" s="1"/>
      <c r="AZY2" s="1"/>
      <c r="AZZ2" s="1"/>
      <c r="BAA2" s="1"/>
      <c r="BAB2" s="1"/>
      <c r="BAC2" s="1"/>
      <c r="BAD2" s="1"/>
      <c r="BAE2" s="1"/>
      <c r="BAF2" s="1"/>
      <c r="BAG2" s="1"/>
      <c r="BAH2" s="1"/>
      <c r="BAI2" s="1"/>
      <c r="BAJ2" s="1"/>
      <c r="BAK2" s="1"/>
      <c r="BAL2" s="1"/>
      <c r="BAM2" s="1"/>
      <c r="BAN2" s="1"/>
      <c r="BAO2" s="1"/>
      <c r="BAP2" s="1"/>
      <c r="BAQ2" s="1"/>
      <c r="BAR2" s="1"/>
      <c r="BAS2" s="1"/>
      <c r="BAT2" s="1"/>
      <c r="BAU2" s="1"/>
      <c r="BAV2" s="1"/>
      <c r="BAW2" s="1"/>
      <c r="BAX2" s="1"/>
      <c r="BAY2" s="1"/>
      <c r="BAZ2" s="1"/>
      <c r="BBA2" s="1"/>
      <c r="BBB2" s="1"/>
      <c r="BBC2" s="1"/>
      <c r="BBD2" s="1"/>
      <c r="BBE2" s="1"/>
      <c r="BBF2" s="1"/>
      <c r="BBG2" s="1"/>
      <c r="BBH2" s="1"/>
      <c r="BBI2" s="1"/>
      <c r="BBJ2" s="1"/>
      <c r="BBK2" s="1"/>
      <c r="BBL2" s="1"/>
      <c r="BBM2" s="1"/>
      <c r="BBN2" s="1"/>
      <c r="BBO2" s="1"/>
      <c r="BBP2" s="1"/>
      <c r="BBQ2" s="1"/>
      <c r="BBR2" s="1"/>
      <c r="BBS2" s="1"/>
      <c r="BBT2" s="1"/>
      <c r="BBU2" s="1"/>
      <c r="BBV2" s="1"/>
      <c r="BBW2" s="1"/>
      <c r="BBX2" s="1"/>
      <c r="BBY2" s="1"/>
      <c r="BBZ2" s="1"/>
      <c r="BCA2" s="1"/>
      <c r="BCB2" s="1"/>
      <c r="BCC2" s="1"/>
      <c r="BCD2" s="1"/>
      <c r="BCE2" s="1"/>
      <c r="BCF2" s="1"/>
      <c r="BCG2" s="1"/>
      <c r="BCH2" s="1"/>
      <c r="BCI2" s="1"/>
      <c r="BCJ2" s="1"/>
      <c r="BCK2" s="1"/>
      <c r="BCL2" s="1"/>
      <c r="BCM2" s="1"/>
      <c r="BCN2" s="1"/>
      <c r="BCO2" s="1"/>
      <c r="BCP2" s="1"/>
      <c r="BCQ2" s="1"/>
      <c r="BCR2" s="1"/>
      <c r="BCS2" s="1"/>
      <c r="BCT2" s="1"/>
      <c r="BCU2" s="1"/>
      <c r="BCV2" s="1"/>
      <c r="BCW2" s="1"/>
      <c r="BCX2" s="1"/>
      <c r="BCY2" s="1"/>
      <c r="BCZ2" s="1"/>
      <c r="BDA2" s="1"/>
      <c r="BDB2" s="1"/>
      <c r="BDC2" s="1"/>
      <c r="BDD2" s="1"/>
      <c r="BDE2" s="1"/>
      <c r="BDF2" s="1"/>
      <c r="BDG2" s="1"/>
      <c r="BDH2" s="1"/>
      <c r="BDI2" s="1"/>
      <c r="BDJ2" s="1"/>
      <c r="BDK2" s="1"/>
      <c r="BDL2" s="1"/>
      <c r="BDM2" s="1"/>
      <c r="BDN2" s="1"/>
      <c r="BDO2" s="1"/>
      <c r="BDP2" s="1"/>
      <c r="BDQ2" s="1"/>
      <c r="BDR2" s="1"/>
      <c r="BDS2" s="1"/>
      <c r="BDT2" s="1"/>
      <c r="BDU2" s="1"/>
      <c r="BDV2" s="1"/>
      <c r="BDW2" s="1"/>
      <c r="BDX2" s="1"/>
      <c r="BDY2" s="1"/>
      <c r="BDZ2" s="1"/>
      <c r="BEA2" s="1"/>
      <c r="BEB2" s="1"/>
      <c r="BEC2" s="1"/>
      <c r="BED2" s="1"/>
      <c r="BEE2" s="1"/>
      <c r="BEF2" s="1"/>
      <c r="BEG2" s="1"/>
      <c r="BEH2" s="1"/>
      <c r="BEI2" s="1"/>
      <c r="BEJ2" s="1"/>
      <c r="BEK2" s="1"/>
      <c r="BEL2" s="1"/>
      <c r="BEM2" s="1"/>
      <c r="BEN2" s="1"/>
      <c r="BEO2" s="1"/>
      <c r="BEP2" s="1"/>
      <c r="BEQ2" s="1"/>
      <c r="BER2" s="1"/>
      <c r="BES2" s="1"/>
      <c r="BET2" s="1"/>
      <c r="BEU2" s="1"/>
      <c r="BEV2" s="1"/>
      <c r="BEW2" s="1"/>
      <c r="BEX2" s="1"/>
      <c r="BEY2" s="1"/>
      <c r="BEZ2" s="1"/>
      <c r="BFA2" s="1"/>
      <c r="BFB2" s="1"/>
      <c r="BFC2" s="1"/>
      <c r="BFD2" s="1"/>
      <c r="BFE2" s="1"/>
      <c r="BFF2" s="1"/>
      <c r="BFG2" s="1"/>
      <c r="BFH2" s="1"/>
      <c r="BFI2" s="1"/>
      <c r="BFJ2" s="1"/>
      <c r="BFK2" s="1"/>
      <c r="BFL2" s="1"/>
      <c r="BFM2" s="1"/>
      <c r="BFN2" s="1"/>
      <c r="BFO2" s="1"/>
      <c r="BFP2" s="1"/>
      <c r="BFQ2" s="1"/>
      <c r="BFR2" s="1"/>
      <c r="BFS2" s="1"/>
      <c r="BFT2" s="1"/>
      <c r="BFU2" s="1"/>
      <c r="BFV2" s="1"/>
      <c r="BFW2" s="1"/>
      <c r="BFX2" s="1"/>
      <c r="BFY2" s="1"/>
      <c r="BFZ2" s="1"/>
      <c r="BGA2" s="1"/>
      <c r="BGB2" s="1"/>
      <c r="BGC2" s="1"/>
      <c r="BGD2" s="1"/>
      <c r="BGE2" s="1"/>
      <c r="BGF2" s="1"/>
      <c r="BGG2" s="1"/>
      <c r="BGH2" s="1"/>
      <c r="BGI2" s="1"/>
      <c r="BGJ2" s="1"/>
      <c r="BGK2" s="1"/>
      <c r="BGL2" s="1"/>
      <c r="BGM2" s="1"/>
      <c r="BGN2" s="1"/>
      <c r="BGO2" s="1"/>
      <c r="BGP2" s="1"/>
      <c r="BGQ2" s="1"/>
      <c r="BGR2" s="1"/>
      <c r="BGS2" s="1"/>
      <c r="BGT2" s="1"/>
      <c r="BGU2" s="1"/>
      <c r="BGV2" s="1"/>
      <c r="BGW2" s="1"/>
      <c r="BGX2" s="1"/>
      <c r="BGY2" s="1"/>
      <c r="BGZ2" s="1"/>
      <c r="BHA2" s="1"/>
      <c r="BHB2" s="1"/>
      <c r="BHC2" s="1"/>
      <c r="BHD2" s="1"/>
      <c r="BHE2" s="1"/>
      <c r="BHF2" s="1"/>
      <c r="BHG2" s="1"/>
      <c r="BHH2" s="1"/>
      <c r="BHI2" s="1"/>
      <c r="BHJ2" s="1"/>
      <c r="BHK2" s="1"/>
      <c r="BHL2" s="1"/>
      <c r="BHM2" s="1"/>
      <c r="BHN2" s="1"/>
      <c r="BHO2" s="1"/>
      <c r="BHP2" s="1"/>
      <c r="BHQ2" s="1"/>
      <c r="BHR2" s="1"/>
      <c r="BHS2" s="1"/>
      <c r="BHT2" s="1"/>
      <c r="BHU2" s="1"/>
      <c r="BHV2" s="1"/>
      <c r="BHW2" s="1"/>
      <c r="BHX2" s="1"/>
      <c r="BHY2" s="1"/>
      <c r="BHZ2" s="1"/>
      <c r="BIA2" s="1"/>
      <c r="BIB2" s="1"/>
      <c r="BIC2" s="1"/>
      <c r="BID2" s="1"/>
      <c r="BIE2" s="1"/>
      <c r="BIF2" s="1"/>
      <c r="BIG2" s="1"/>
      <c r="BIH2" s="1"/>
      <c r="BII2" s="1"/>
      <c r="BIJ2" s="1"/>
      <c r="BIK2" s="1"/>
      <c r="BIL2" s="1"/>
      <c r="BIM2" s="1"/>
      <c r="BIN2" s="1"/>
      <c r="BIO2" s="1"/>
      <c r="BIP2" s="1"/>
      <c r="BIQ2" s="1"/>
      <c r="BIR2" s="1"/>
      <c r="BIS2" s="1"/>
      <c r="BIT2" s="1"/>
      <c r="BIU2" s="1"/>
      <c r="BIV2" s="1"/>
      <c r="BIW2" s="1"/>
      <c r="BIX2" s="1"/>
      <c r="BIY2" s="1"/>
      <c r="BIZ2" s="1"/>
      <c r="BJA2" s="1"/>
      <c r="BJB2" s="1"/>
      <c r="BJC2" s="1"/>
      <c r="BJD2" s="1"/>
      <c r="BJE2" s="1"/>
      <c r="BJF2" s="1"/>
      <c r="BJG2" s="1"/>
      <c r="BJH2" s="1"/>
      <c r="BJI2" s="1"/>
      <c r="BJJ2" s="1"/>
      <c r="BJK2" s="1"/>
      <c r="BJL2" s="1"/>
      <c r="BJM2" s="1"/>
      <c r="BJN2" s="1"/>
      <c r="BJO2" s="1"/>
      <c r="BJP2" s="1"/>
      <c r="BJQ2" s="1"/>
      <c r="BJR2" s="1"/>
      <c r="BJS2" s="1"/>
      <c r="BJT2" s="1"/>
      <c r="BJU2" s="1"/>
      <c r="BJV2" s="1"/>
      <c r="BJW2" s="1"/>
      <c r="BJX2" s="1"/>
      <c r="BJY2" s="1"/>
      <c r="BJZ2" s="1"/>
      <c r="BKA2" s="1"/>
      <c r="BKB2" s="1"/>
      <c r="BKC2" s="1"/>
      <c r="BKD2" s="1"/>
      <c r="BKE2" s="1"/>
      <c r="BKF2" s="1"/>
      <c r="BKG2" s="1"/>
      <c r="BKH2" s="1"/>
      <c r="BKI2" s="1"/>
      <c r="BKJ2" s="1"/>
      <c r="BKK2" s="1"/>
      <c r="BKL2" s="1"/>
      <c r="BKM2" s="1"/>
      <c r="BKN2" s="1"/>
      <c r="BKO2" s="1"/>
      <c r="BKP2" s="1"/>
      <c r="BKQ2" s="1"/>
      <c r="BKR2" s="1"/>
      <c r="BKS2" s="1"/>
      <c r="BKT2" s="1"/>
      <c r="BKU2" s="1"/>
      <c r="BKV2" s="1"/>
      <c r="BKW2" s="1"/>
      <c r="BKX2" s="1"/>
      <c r="BKY2" s="1"/>
      <c r="BKZ2" s="1"/>
      <c r="BLA2" s="1"/>
      <c r="BLB2" s="1"/>
      <c r="BLC2" s="1"/>
      <c r="BLD2" s="1"/>
      <c r="BLE2" s="1"/>
      <c r="BLF2" s="1"/>
      <c r="BLG2" s="1"/>
      <c r="BLH2" s="1"/>
      <c r="BLI2" s="1"/>
      <c r="BLJ2" s="1"/>
      <c r="BLK2" s="1"/>
      <c r="BLL2" s="1"/>
      <c r="BLM2" s="1"/>
      <c r="BLN2" s="1"/>
      <c r="BLO2" s="1"/>
      <c r="BLP2" s="1"/>
      <c r="BLQ2" s="1"/>
      <c r="BLR2" s="1"/>
      <c r="BLS2" s="1"/>
      <c r="BLT2" s="1"/>
      <c r="BLU2" s="1"/>
      <c r="BLV2" s="1"/>
      <c r="BLW2" s="1"/>
      <c r="BLX2" s="1"/>
      <c r="BLY2" s="1"/>
      <c r="BLZ2" s="1"/>
      <c r="BMA2" s="1"/>
      <c r="BMB2" s="1"/>
      <c r="BMC2" s="1"/>
      <c r="BMD2" s="1"/>
      <c r="BME2" s="1"/>
      <c r="BMF2" s="1"/>
      <c r="BMG2" s="1"/>
      <c r="BMH2" s="1"/>
      <c r="BMI2" s="1"/>
      <c r="BMJ2" s="1"/>
      <c r="BMK2" s="1"/>
      <c r="BML2" s="1"/>
      <c r="BMM2" s="1"/>
      <c r="BMN2" s="1"/>
      <c r="BMO2" s="1"/>
      <c r="BMP2" s="1"/>
      <c r="BMQ2" s="1"/>
      <c r="BMR2" s="1"/>
      <c r="BMS2" s="1"/>
      <c r="BMT2" s="1"/>
      <c r="BMU2" s="1"/>
      <c r="BMV2" s="1"/>
      <c r="BMW2" s="1"/>
      <c r="BMX2" s="1"/>
      <c r="BMY2" s="1"/>
      <c r="BMZ2" s="1"/>
      <c r="BNA2" s="1"/>
      <c r="BNB2" s="1"/>
      <c r="BNC2" s="1"/>
      <c r="BND2" s="1"/>
      <c r="BNE2" s="1"/>
      <c r="BNF2" s="1"/>
      <c r="BNG2" s="1"/>
      <c r="BNH2" s="1"/>
      <c r="BNI2" s="1"/>
      <c r="BNJ2" s="1"/>
      <c r="BNK2" s="1"/>
      <c r="BNL2" s="1"/>
      <c r="BNM2" s="1"/>
      <c r="BNN2" s="1"/>
      <c r="BNO2" s="1"/>
      <c r="BNP2" s="1"/>
      <c r="BNQ2" s="1"/>
      <c r="BNR2" s="1"/>
      <c r="BNS2" s="1"/>
      <c r="BNT2" s="1"/>
      <c r="BNU2" s="1"/>
      <c r="BNV2" s="1"/>
      <c r="BNW2" s="1"/>
      <c r="BNX2" s="1"/>
      <c r="BNY2" s="1"/>
      <c r="BNZ2" s="1"/>
      <c r="BOA2" s="1"/>
      <c r="BOB2" s="1"/>
      <c r="BOC2" s="1"/>
      <c r="BOD2" s="1"/>
      <c r="BOE2" s="1"/>
      <c r="BOF2" s="1"/>
      <c r="BOG2" s="1"/>
      <c r="BOH2" s="1"/>
      <c r="BOI2" s="1"/>
      <c r="BOJ2" s="1"/>
      <c r="BOK2" s="1"/>
      <c r="BOL2" s="1"/>
      <c r="BOM2" s="1"/>
      <c r="BON2" s="1"/>
      <c r="BOO2" s="1"/>
      <c r="BOP2" s="1"/>
      <c r="BOQ2" s="1"/>
      <c r="BOR2" s="1"/>
      <c r="BOS2" s="1"/>
      <c r="BOT2" s="1"/>
      <c r="BOU2" s="1"/>
      <c r="BOV2" s="1"/>
      <c r="BOW2" s="1"/>
      <c r="BOX2" s="1"/>
      <c r="BOY2" s="1"/>
      <c r="BOZ2" s="1"/>
      <c r="BPA2" s="1"/>
      <c r="BPB2" s="1"/>
      <c r="BPC2" s="1"/>
      <c r="BPD2" s="1"/>
      <c r="BPE2" s="1"/>
      <c r="BPF2" s="1"/>
      <c r="BPG2" s="1"/>
      <c r="BPH2" s="1"/>
      <c r="BPI2" s="1"/>
      <c r="BPJ2" s="1"/>
      <c r="BPK2" s="1"/>
      <c r="BPL2" s="1"/>
      <c r="BPM2" s="1"/>
      <c r="BPN2" s="1"/>
      <c r="BPO2" s="1"/>
      <c r="BPP2" s="1"/>
      <c r="BPQ2" s="1"/>
      <c r="BPR2" s="1"/>
      <c r="BPS2" s="1"/>
      <c r="BPT2" s="1"/>
      <c r="BPU2" s="1"/>
      <c r="BPV2" s="1"/>
      <c r="BPW2" s="1"/>
      <c r="BPX2" s="1"/>
      <c r="BPY2" s="1"/>
      <c r="BPZ2" s="1"/>
      <c r="BQA2" s="1"/>
      <c r="BQB2" s="1"/>
      <c r="BQC2" s="1"/>
      <c r="BQD2" s="1"/>
      <c r="BQE2" s="1"/>
      <c r="BQF2" s="1"/>
      <c r="BQG2" s="1"/>
      <c r="BQH2" s="1"/>
      <c r="BQI2" s="1"/>
      <c r="BQJ2" s="1"/>
      <c r="BQK2" s="1"/>
      <c r="BQL2" s="1"/>
      <c r="BQM2" s="1"/>
      <c r="BQN2" s="1"/>
      <c r="BQO2" s="1"/>
      <c r="BQP2" s="1"/>
      <c r="BQQ2" s="1"/>
      <c r="BQR2" s="1"/>
      <c r="BQS2" s="1"/>
      <c r="BQT2" s="1"/>
      <c r="BQU2" s="1"/>
      <c r="BQV2" s="1"/>
      <c r="BQW2" s="1"/>
      <c r="BQX2" s="1"/>
      <c r="BQY2" s="1"/>
      <c r="BQZ2" s="1"/>
      <c r="BRA2" s="1"/>
      <c r="BRB2" s="1"/>
      <c r="BRC2" s="1"/>
      <c r="BRD2" s="1"/>
      <c r="BRE2" s="1"/>
      <c r="BRF2" s="1"/>
      <c r="BRG2" s="1"/>
      <c r="BRH2" s="1"/>
      <c r="BRI2" s="1"/>
      <c r="BRJ2" s="1"/>
      <c r="BRK2" s="1"/>
      <c r="BRL2" s="1"/>
      <c r="BRM2" s="1"/>
      <c r="BRN2" s="1"/>
      <c r="BRO2" s="1"/>
      <c r="BRP2" s="1"/>
      <c r="BRQ2" s="1"/>
      <c r="BRR2" s="1"/>
      <c r="BRS2" s="1"/>
      <c r="BRT2" s="1"/>
      <c r="BRU2" s="1"/>
      <c r="BRV2" s="1"/>
      <c r="BRW2" s="1"/>
      <c r="BRX2" s="1"/>
      <c r="BRY2" s="1"/>
      <c r="BRZ2" s="1"/>
      <c r="BSA2" s="1"/>
      <c r="BSB2" s="1"/>
      <c r="BSC2" s="1"/>
      <c r="BSD2" s="1"/>
      <c r="BSE2" s="1"/>
      <c r="BSF2" s="1"/>
      <c r="BSG2" s="1"/>
      <c r="BSH2" s="1"/>
      <c r="BSI2" s="1"/>
      <c r="BSJ2" s="1"/>
      <c r="BSK2" s="1"/>
      <c r="BSL2" s="1"/>
      <c r="BSM2" s="1"/>
      <c r="BSN2" s="1"/>
      <c r="BSO2" s="1"/>
      <c r="BSP2" s="1"/>
      <c r="BSQ2" s="1"/>
      <c r="BSR2" s="1"/>
      <c r="BSS2" s="1"/>
      <c r="BST2" s="1"/>
      <c r="BSU2" s="1"/>
      <c r="BSV2" s="1"/>
      <c r="BSW2" s="1"/>
      <c r="BSX2" s="1"/>
      <c r="BSY2" s="1"/>
      <c r="BSZ2" s="1"/>
      <c r="BTA2" s="1"/>
      <c r="BTB2" s="1"/>
      <c r="BTC2" s="1"/>
      <c r="BTD2" s="1"/>
      <c r="BTE2" s="1"/>
      <c r="BTF2" s="1"/>
      <c r="BTG2" s="1"/>
      <c r="BTH2" s="1"/>
      <c r="BTI2" s="1"/>
      <c r="BTJ2" s="1"/>
      <c r="BTK2" s="1"/>
      <c r="BTL2" s="1"/>
      <c r="BTM2" s="1"/>
      <c r="BTN2" s="1"/>
      <c r="BTO2" s="1"/>
      <c r="BTP2" s="1"/>
      <c r="BTQ2" s="1"/>
      <c r="BTR2" s="1"/>
      <c r="BTS2" s="1"/>
      <c r="BTT2" s="1"/>
      <c r="BTU2" s="1"/>
      <c r="BTV2" s="1"/>
      <c r="BTW2" s="1"/>
      <c r="BTX2" s="1"/>
      <c r="BTY2" s="1"/>
      <c r="BTZ2" s="1"/>
      <c r="BUA2" s="1"/>
      <c r="BUB2" s="1"/>
      <c r="BUC2" s="1"/>
      <c r="BUD2" s="1"/>
      <c r="BUE2" s="1"/>
      <c r="BUF2" s="1"/>
      <c r="BUG2" s="1"/>
      <c r="BUH2" s="1"/>
      <c r="BUI2" s="1"/>
      <c r="BUJ2" s="1"/>
      <c r="BUK2" s="1"/>
      <c r="BUL2" s="1"/>
      <c r="BUM2" s="1"/>
      <c r="BUN2" s="1"/>
      <c r="BUO2" s="1"/>
      <c r="BUP2" s="1"/>
      <c r="BUQ2" s="1"/>
      <c r="BUR2" s="1"/>
      <c r="BUS2" s="1"/>
      <c r="BUT2" s="1"/>
      <c r="BUU2" s="1"/>
      <c r="BUV2" s="1"/>
      <c r="BUW2" s="1"/>
      <c r="BUX2" s="1"/>
      <c r="BUY2" s="1"/>
      <c r="BUZ2" s="1"/>
      <c r="BVA2" s="1"/>
      <c r="BVB2" s="1"/>
      <c r="BVC2" s="1"/>
      <c r="BVD2" s="1"/>
      <c r="BVE2" s="1"/>
      <c r="BVF2" s="1"/>
      <c r="BVG2" s="1"/>
      <c r="BVH2" s="1"/>
      <c r="BVI2" s="1"/>
      <c r="BVJ2" s="1"/>
      <c r="BVK2" s="1"/>
      <c r="BVL2" s="1"/>
      <c r="BVM2" s="1"/>
      <c r="BVN2" s="1"/>
      <c r="BVO2" s="1"/>
      <c r="BVP2" s="1"/>
      <c r="BVQ2" s="1"/>
      <c r="BVR2" s="1"/>
      <c r="BVS2" s="1"/>
      <c r="BVT2" s="1"/>
      <c r="BVU2" s="1"/>
      <c r="BVV2" s="1"/>
      <c r="BVW2" s="1"/>
      <c r="BVX2" s="1"/>
      <c r="BVY2" s="1"/>
      <c r="BVZ2" s="1"/>
      <c r="BWA2" s="1"/>
      <c r="BWB2" s="1"/>
      <c r="BWC2" s="1"/>
      <c r="BWD2" s="1"/>
      <c r="BWE2" s="1"/>
      <c r="BWF2" s="1"/>
      <c r="BWG2" s="1"/>
      <c r="BWH2" s="1"/>
      <c r="BWI2" s="1"/>
      <c r="BWJ2" s="1"/>
      <c r="BWK2" s="1"/>
      <c r="BWL2" s="1"/>
      <c r="BWM2" s="1"/>
      <c r="BWN2" s="1"/>
      <c r="BWO2" s="1"/>
      <c r="BWP2" s="1"/>
      <c r="BWQ2" s="1"/>
      <c r="BWR2" s="1"/>
      <c r="BWS2" s="1"/>
      <c r="BWT2" s="1"/>
      <c r="BWU2" s="1"/>
      <c r="BWV2" s="1"/>
      <c r="BWW2" s="1"/>
      <c r="BWX2" s="1"/>
      <c r="BWY2" s="1"/>
      <c r="BWZ2" s="1"/>
      <c r="BXA2" s="1"/>
      <c r="BXB2" s="1"/>
      <c r="BXC2" s="1"/>
      <c r="BXD2" s="1"/>
      <c r="BXE2" s="1"/>
      <c r="BXF2" s="1"/>
      <c r="BXG2" s="1"/>
      <c r="BXH2" s="1"/>
      <c r="BXI2" s="1"/>
      <c r="BXJ2" s="1"/>
      <c r="BXK2" s="1"/>
      <c r="BXL2" s="1"/>
      <c r="BXM2" s="1"/>
      <c r="BXN2" s="1"/>
      <c r="BXO2" s="1"/>
      <c r="BXP2" s="1"/>
      <c r="BXQ2" s="1"/>
      <c r="BXR2" s="1"/>
      <c r="BXS2" s="1"/>
      <c r="BXT2" s="1"/>
      <c r="BXU2" s="1"/>
      <c r="BXV2" s="1"/>
      <c r="BXW2" s="1"/>
      <c r="BXX2" s="1"/>
      <c r="BXY2" s="1"/>
      <c r="BXZ2" s="1"/>
      <c r="BYA2" s="1"/>
      <c r="BYB2" s="1"/>
      <c r="BYC2" s="1"/>
      <c r="BYD2" s="1"/>
      <c r="BYE2" s="1"/>
      <c r="BYF2" s="1"/>
      <c r="BYG2" s="1"/>
      <c r="BYH2" s="1"/>
      <c r="BYI2" s="1"/>
      <c r="BYJ2" s="1"/>
      <c r="BYK2" s="1"/>
      <c r="BYL2" s="1"/>
      <c r="BYM2" s="1"/>
      <c r="BYN2" s="1"/>
      <c r="BYO2" s="1"/>
      <c r="BYP2" s="1"/>
      <c r="BYQ2" s="1"/>
      <c r="BYR2" s="1"/>
      <c r="BYS2" s="1"/>
      <c r="BYT2" s="1"/>
      <c r="BYU2" s="1"/>
      <c r="BYV2" s="1"/>
      <c r="BYW2" s="1"/>
      <c r="BYX2" s="1"/>
      <c r="BYY2" s="1"/>
      <c r="BYZ2" s="1"/>
      <c r="BZA2" s="1"/>
      <c r="BZB2" s="1"/>
      <c r="BZC2" s="1"/>
      <c r="BZD2" s="1"/>
      <c r="BZE2" s="1"/>
      <c r="BZF2" s="1"/>
      <c r="BZG2" s="1"/>
      <c r="BZH2" s="1"/>
      <c r="BZI2" s="1"/>
      <c r="BZJ2" s="1"/>
      <c r="BZK2" s="1"/>
      <c r="BZL2" s="1"/>
      <c r="BZM2" s="1"/>
      <c r="BZN2" s="1"/>
      <c r="BZO2" s="1"/>
      <c r="BZP2" s="1"/>
      <c r="BZQ2" s="1"/>
      <c r="BZR2" s="1"/>
      <c r="BZS2" s="1"/>
      <c r="BZT2" s="1"/>
      <c r="BZU2" s="1"/>
      <c r="BZV2" s="1"/>
      <c r="BZW2" s="1"/>
      <c r="BZX2" s="1"/>
      <c r="BZY2" s="1"/>
      <c r="BZZ2" s="1"/>
      <c r="CAA2" s="1"/>
      <c r="CAB2" s="1"/>
      <c r="CAC2" s="1"/>
      <c r="CAD2" s="1"/>
      <c r="CAE2" s="1"/>
      <c r="CAF2" s="1"/>
      <c r="CAG2" s="1"/>
      <c r="CAH2" s="1"/>
      <c r="CAI2" s="1"/>
      <c r="CAJ2" s="1"/>
      <c r="CAK2" s="1"/>
      <c r="CAL2" s="1"/>
      <c r="CAM2" s="1"/>
      <c r="CAN2" s="1"/>
      <c r="CAO2" s="1"/>
      <c r="CAP2" s="1"/>
      <c r="CAQ2" s="1"/>
      <c r="CAR2" s="1"/>
      <c r="CAS2" s="1"/>
      <c r="CAT2" s="1"/>
      <c r="CAU2" s="1"/>
      <c r="CAV2" s="1"/>
      <c r="CAW2" s="1"/>
      <c r="CAX2" s="1"/>
      <c r="CAY2" s="1"/>
      <c r="CAZ2" s="1"/>
      <c r="CBA2" s="1"/>
      <c r="CBB2" s="1"/>
      <c r="CBC2" s="1"/>
      <c r="CBD2" s="1"/>
      <c r="CBE2" s="1"/>
      <c r="CBF2" s="1"/>
      <c r="CBG2" s="1"/>
      <c r="CBH2" s="1"/>
      <c r="CBI2" s="1"/>
      <c r="CBJ2" s="1"/>
      <c r="CBK2" s="1"/>
      <c r="CBL2" s="1"/>
      <c r="CBM2" s="1"/>
      <c r="CBN2" s="1"/>
      <c r="CBO2" s="1"/>
      <c r="CBP2" s="1"/>
      <c r="CBQ2" s="1"/>
      <c r="CBR2" s="1"/>
      <c r="CBS2" s="1"/>
      <c r="CBT2" s="1"/>
      <c r="CBU2" s="1"/>
      <c r="CBV2" s="1"/>
      <c r="CBW2" s="1"/>
      <c r="CBX2" s="1"/>
      <c r="CBY2" s="1"/>
      <c r="CBZ2" s="1"/>
      <c r="CCA2" s="1"/>
      <c r="CCB2" s="1"/>
      <c r="CCC2" s="1"/>
      <c r="CCD2" s="1"/>
      <c r="CCE2" s="1"/>
      <c r="CCF2" s="1"/>
      <c r="CCG2" s="1"/>
      <c r="CCH2" s="1"/>
      <c r="CCI2" s="1"/>
      <c r="CCJ2" s="1"/>
      <c r="CCK2" s="1"/>
      <c r="CCL2" s="1"/>
      <c r="CCM2" s="1"/>
      <c r="CCN2" s="1"/>
      <c r="CCO2" s="1"/>
      <c r="CCP2" s="1"/>
      <c r="CCQ2" s="1"/>
      <c r="CCR2" s="1"/>
      <c r="CCS2" s="1"/>
      <c r="CCT2" s="1"/>
      <c r="CCU2" s="1"/>
      <c r="CCV2" s="1"/>
      <c r="CCW2" s="1"/>
      <c r="CCX2" s="1"/>
      <c r="CCY2" s="1"/>
      <c r="CCZ2" s="1"/>
      <c r="CDA2" s="1"/>
      <c r="CDB2" s="1"/>
      <c r="CDC2" s="1"/>
      <c r="CDD2" s="1"/>
      <c r="CDE2" s="1"/>
      <c r="CDF2" s="1"/>
      <c r="CDG2" s="1"/>
      <c r="CDH2" s="1"/>
      <c r="CDI2" s="1"/>
      <c r="CDJ2" s="1"/>
      <c r="CDK2" s="1"/>
      <c r="CDL2" s="1"/>
      <c r="CDM2" s="1"/>
      <c r="CDN2" s="1"/>
      <c r="CDO2" s="1"/>
      <c r="CDP2" s="1"/>
      <c r="CDQ2" s="1"/>
      <c r="CDR2" s="1"/>
      <c r="CDS2" s="1"/>
      <c r="CDT2" s="1"/>
      <c r="CDU2" s="1"/>
      <c r="CDV2" s="1"/>
      <c r="CDW2" s="1"/>
      <c r="CDX2" s="1"/>
      <c r="CDY2" s="1"/>
      <c r="CDZ2" s="1"/>
      <c r="CEA2" s="1"/>
      <c r="CEB2" s="1"/>
      <c r="CEC2" s="1"/>
      <c r="CED2" s="1"/>
      <c r="CEE2" s="1"/>
      <c r="CEF2" s="1"/>
      <c r="CEG2" s="1"/>
      <c r="CEH2" s="1"/>
      <c r="CEI2" s="1"/>
      <c r="CEJ2" s="1"/>
      <c r="CEK2" s="1"/>
      <c r="CEL2" s="1"/>
      <c r="CEM2" s="1"/>
      <c r="CEN2" s="1"/>
      <c r="CEO2" s="1"/>
      <c r="CEP2" s="1"/>
      <c r="CEQ2" s="1"/>
      <c r="CER2" s="1"/>
      <c r="CES2" s="1"/>
      <c r="CET2" s="1"/>
      <c r="CEU2" s="1"/>
      <c r="CEV2" s="1"/>
      <c r="CEW2" s="1"/>
      <c r="CEX2" s="1"/>
      <c r="CEY2" s="1"/>
      <c r="CEZ2" s="1"/>
      <c r="CFA2" s="1"/>
      <c r="CFB2" s="1"/>
      <c r="CFC2" s="1"/>
      <c r="CFD2" s="1"/>
      <c r="CFE2" s="1"/>
      <c r="CFF2" s="1"/>
      <c r="CFG2" s="1"/>
      <c r="CFH2" s="1"/>
      <c r="CFI2" s="1"/>
      <c r="CFJ2" s="1"/>
      <c r="CFK2" s="1"/>
      <c r="CFL2" s="1"/>
      <c r="CFM2" s="1"/>
      <c r="CFN2" s="1"/>
      <c r="CFO2" s="1"/>
      <c r="CFP2" s="1"/>
      <c r="CFQ2" s="1"/>
      <c r="CFR2" s="1"/>
      <c r="CFS2" s="1"/>
      <c r="CFT2" s="1"/>
      <c r="CFU2" s="1"/>
      <c r="CFV2" s="1"/>
      <c r="CFW2" s="1"/>
      <c r="CFX2" s="1"/>
      <c r="CFY2" s="1"/>
      <c r="CFZ2" s="1"/>
      <c r="CGA2" s="1"/>
      <c r="CGB2" s="1"/>
      <c r="CGC2" s="1"/>
      <c r="CGD2" s="1"/>
      <c r="CGE2" s="1"/>
      <c r="CGF2" s="1"/>
      <c r="CGG2" s="1"/>
      <c r="CGH2" s="1"/>
      <c r="CGI2" s="1"/>
      <c r="CGJ2" s="1"/>
      <c r="CGK2" s="1"/>
      <c r="CGL2" s="1"/>
      <c r="CGM2" s="1"/>
      <c r="CGN2" s="1"/>
      <c r="CGO2" s="1"/>
      <c r="CGP2" s="1"/>
      <c r="CGQ2" s="1"/>
      <c r="CGR2" s="1"/>
      <c r="CGS2" s="1"/>
      <c r="CGT2" s="1"/>
      <c r="CGU2" s="1"/>
      <c r="CGV2" s="1"/>
      <c r="CGW2" s="1"/>
      <c r="CGX2" s="1"/>
      <c r="CGY2" s="1"/>
      <c r="CGZ2" s="1"/>
      <c r="CHA2" s="1"/>
      <c r="CHB2" s="1"/>
      <c r="CHC2" s="1"/>
      <c r="CHD2" s="1"/>
      <c r="CHE2" s="1"/>
      <c r="CHF2" s="1"/>
      <c r="CHG2" s="1"/>
      <c r="CHH2" s="1"/>
      <c r="CHI2" s="1"/>
      <c r="CHJ2" s="1"/>
      <c r="CHK2" s="1"/>
      <c r="CHL2" s="1"/>
      <c r="CHM2" s="1"/>
      <c r="CHN2" s="1"/>
      <c r="CHO2" s="1"/>
      <c r="CHP2" s="1"/>
      <c r="CHQ2" s="1"/>
      <c r="CHR2" s="1"/>
      <c r="CHS2" s="1"/>
      <c r="CHT2" s="1"/>
      <c r="CHU2" s="1"/>
      <c r="CHV2" s="1"/>
      <c r="CHW2" s="1"/>
      <c r="CHX2" s="1"/>
      <c r="CHY2" s="1"/>
      <c r="CHZ2" s="1"/>
      <c r="CIA2" s="1"/>
      <c r="CIB2" s="1"/>
      <c r="CIC2" s="1"/>
      <c r="CID2" s="1"/>
      <c r="CIE2" s="1"/>
      <c r="CIF2" s="1"/>
      <c r="CIG2" s="1"/>
      <c r="CIH2" s="1"/>
      <c r="CII2" s="1"/>
      <c r="CIJ2" s="1"/>
      <c r="CIK2" s="1"/>
      <c r="CIL2" s="1"/>
      <c r="CIM2" s="1"/>
      <c r="CIN2" s="1"/>
      <c r="CIO2" s="1"/>
      <c r="CIP2" s="1"/>
      <c r="CIQ2" s="1"/>
      <c r="CIR2" s="1"/>
      <c r="CIS2" s="1"/>
      <c r="CIT2" s="1"/>
      <c r="CIU2" s="1"/>
      <c r="CIV2" s="1"/>
      <c r="CIW2" s="1"/>
      <c r="CIX2" s="1"/>
      <c r="CIY2" s="1"/>
      <c r="CIZ2" s="1"/>
      <c r="CJA2" s="1"/>
      <c r="CJB2" s="1"/>
      <c r="CJC2" s="1"/>
      <c r="CJD2" s="1"/>
      <c r="CJE2" s="1"/>
      <c r="CJF2" s="1"/>
      <c r="CJG2" s="1"/>
      <c r="CJH2" s="1"/>
      <c r="CJI2" s="1"/>
      <c r="CJJ2" s="1"/>
      <c r="CJK2" s="1"/>
      <c r="CJL2" s="1"/>
      <c r="CJM2" s="1"/>
      <c r="CJN2" s="1"/>
      <c r="CJO2" s="1"/>
      <c r="CJP2" s="1"/>
      <c r="CJQ2" s="1"/>
      <c r="CJR2" s="1"/>
      <c r="CJS2" s="1"/>
      <c r="CJT2" s="1"/>
      <c r="CJU2" s="1"/>
      <c r="CJV2" s="1"/>
      <c r="CJW2" s="1"/>
      <c r="CJX2" s="1"/>
      <c r="CJY2" s="1"/>
      <c r="CJZ2" s="1"/>
      <c r="CKA2" s="1"/>
      <c r="CKB2" s="1"/>
      <c r="CKC2" s="1"/>
      <c r="CKD2" s="1"/>
      <c r="CKE2" s="1"/>
      <c r="CKF2" s="1"/>
      <c r="CKG2" s="1"/>
      <c r="CKH2" s="1"/>
      <c r="CKI2" s="1"/>
      <c r="CKJ2" s="1"/>
      <c r="CKK2" s="1"/>
      <c r="CKL2" s="1"/>
      <c r="CKM2" s="1"/>
      <c r="CKN2" s="1"/>
      <c r="CKO2" s="1"/>
      <c r="CKP2" s="1"/>
      <c r="CKQ2" s="1"/>
      <c r="CKR2" s="1"/>
      <c r="CKS2" s="1"/>
      <c r="CKT2" s="1"/>
      <c r="CKU2" s="1"/>
      <c r="CKV2" s="1"/>
      <c r="CKW2" s="1"/>
      <c r="CKX2" s="1"/>
      <c r="CKY2" s="1"/>
      <c r="CKZ2" s="1"/>
      <c r="CLA2" s="1"/>
      <c r="CLB2" s="1"/>
      <c r="CLC2" s="1"/>
      <c r="CLD2" s="1"/>
      <c r="CLE2" s="1"/>
      <c r="CLF2" s="1"/>
      <c r="CLG2" s="1"/>
      <c r="CLH2" s="1"/>
      <c r="CLI2" s="1"/>
      <c r="CLJ2" s="1"/>
      <c r="CLK2" s="1"/>
      <c r="CLL2" s="1"/>
      <c r="CLM2" s="1"/>
      <c r="CLN2" s="1"/>
      <c r="CLO2" s="1"/>
      <c r="CLP2" s="1"/>
      <c r="CLQ2" s="1"/>
      <c r="CLR2" s="1"/>
      <c r="CLS2" s="1"/>
      <c r="CLT2" s="1"/>
      <c r="CLU2" s="1"/>
      <c r="CLV2" s="1"/>
      <c r="CLW2" s="1"/>
      <c r="CLX2" s="1"/>
      <c r="CLY2" s="1"/>
      <c r="CLZ2" s="1"/>
      <c r="CMA2" s="1"/>
      <c r="CMB2" s="1"/>
      <c r="CMC2" s="1"/>
      <c r="CMD2" s="1"/>
      <c r="CME2" s="1"/>
      <c r="CMF2" s="1"/>
      <c r="CMG2" s="1"/>
      <c r="CMH2" s="1"/>
      <c r="CMI2" s="1"/>
      <c r="CMJ2" s="1"/>
      <c r="CMK2" s="1"/>
      <c r="CML2" s="1"/>
      <c r="CMM2" s="1"/>
      <c r="CMN2" s="1"/>
      <c r="CMO2" s="1"/>
      <c r="CMP2" s="1"/>
      <c r="CMQ2" s="1"/>
      <c r="CMR2" s="1"/>
      <c r="CMS2" s="1"/>
      <c r="CMT2" s="1"/>
      <c r="CMU2" s="1"/>
      <c r="CMV2" s="1"/>
      <c r="CMW2" s="1"/>
      <c r="CMX2" s="1"/>
      <c r="CMY2" s="1"/>
      <c r="CMZ2" s="1"/>
      <c r="CNA2" s="1"/>
      <c r="CNB2" s="1"/>
      <c r="CNC2" s="1"/>
      <c r="CND2" s="1"/>
      <c r="CNE2" s="1"/>
      <c r="CNF2" s="1"/>
      <c r="CNG2" s="1"/>
      <c r="CNH2" s="1"/>
      <c r="CNI2" s="1"/>
      <c r="CNJ2" s="1"/>
      <c r="CNK2" s="1"/>
      <c r="CNL2" s="1"/>
      <c r="CNM2" s="1"/>
      <c r="CNN2" s="1"/>
      <c r="CNO2" s="1"/>
      <c r="CNP2" s="1"/>
      <c r="CNQ2" s="1"/>
      <c r="CNR2" s="1"/>
      <c r="CNS2" s="1"/>
      <c r="CNT2" s="1"/>
      <c r="CNU2" s="1"/>
      <c r="CNV2" s="1"/>
      <c r="CNW2" s="1"/>
      <c r="CNX2" s="1"/>
      <c r="CNY2" s="1"/>
      <c r="CNZ2" s="1"/>
      <c r="COA2" s="1"/>
      <c r="COB2" s="1"/>
      <c r="COC2" s="1"/>
      <c r="COD2" s="1"/>
      <c r="COE2" s="1"/>
      <c r="COF2" s="1"/>
      <c r="COG2" s="1"/>
      <c r="COH2" s="1"/>
      <c r="COI2" s="1"/>
      <c r="COJ2" s="1"/>
      <c r="COK2" s="1"/>
      <c r="COL2" s="1"/>
      <c r="COM2" s="1"/>
      <c r="CON2" s="1"/>
      <c r="COO2" s="1"/>
      <c r="COP2" s="1"/>
      <c r="COQ2" s="1"/>
      <c r="COR2" s="1"/>
      <c r="COS2" s="1"/>
      <c r="COT2" s="1"/>
      <c r="COU2" s="1"/>
      <c r="COV2" s="1"/>
      <c r="COW2" s="1"/>
      <c r="COX2" s="1"/>
      <c r="COY2" s="1"/>
      <c r="COZ2" s="1"/>
      <c r="CPA2" s="1"/>
      <c r="CPB2" s="1"/>
      <c r="CPC2" s="1"/>
      <c r="CPD2" s="1"/>
      <c r="CPE2" s="1"/>
      <c r="CPF2" s="1"/>
      <c r="CPG2" s="1"/>
      <c r="CPH2" s="1"/>
      <c r="CPI2" s="1"/>
      <c r="CPJ2" s="1"/>
      <c r="CPK2" s="1"/>
      <c r="CPL2" s="1"/>
      <c r="CPM2" s="1"/>
      <c r="CPN2" s="1"/>
      <c r="CPO2" s="1"/>
      <c r="CPP2" s="1"/>
      <c r="CPQ2" s="1"/>
      <c r="CPR2" s="1"/>
      <c r="CPS2" s="1"/>
      <c r="CPT2" s="1"/>
      <c r="CPU2" s="1"/>
      <c r="CPV2" s="1"/>
      <c r="CPW2" s="1"/>
      <c r="CPX2" s="1"/>
      <c r="CPY2" s="1"/>
      <c r="CPZ2" s="1"/>
      <c r="CQA2" s="1"/>
      <c r="CQB2" s="1"/>
      <c r="CQC2" s="1"/>
      <c r="CQD2" s="1"/>
      <c r="CQE2" s="1"/>
      <c r="CQF2" s="1"/>
      <c r="CQG2" s="1"/>
      <c r="CQH2" s="1"/>
      <c r="CQI2" s="1"/>
      <c r="CQJ2" s="1"/>
      <c r="CQK2" s="1"/>
      <c r="CQL2" s="1"/>
      <c r="CQM2" s="1"/>
      <c r="CQN2" s="1"/>
      <c r="CQO2" s="1"/>
      <c r="CQP2" s="1"/>
      <c r="CQQ2" s="1"/>
      <c r="CQR2" s="1"/>
      <c r="CQS2" s="1"/>
      <c r="CQT2" s="1"/>
      <c r="CQU2" s="1"/>
      <c r="CQV2" s="1"/>
      <c r="CQW2" s="1"/>
      <c r="CQX2" s="1"/>
      <c r="CQY2" s="1"/>
      <c r="CQZ2" s="1"/>
      <c r="CRA2" s="1"/>
      <c r="CRB2" s="1"/>
      <c r="CRC2" s="1"/>
      <c r="CRD2" s="1"/>
      <c r="CRE2" s="1"/>
      <c r="CRF2" s="1"/>
      <c r="CRG2" s="1"/>
      <c r="CRH2" s="1"/>
      <c r="CRI2" s="1"/>
      <c r="CRJ2" s="1"/>
      <c r="CRK2" s="1"/>
      <c r="CRL2" s="1"/>
      <c r="CRM2" s="1"/>
      <c r="CRN2" s="1"/>
      <c r="CRO2" s="1"/>
      <c r="CRP2" s="1"/>
      <c r="CRQ2" s="1"/>
      <c r="CRR2" s="1"/>
      <c r="CRS2" s="1"/>
      <c r="CRT2" s="1"/>
      <c r="CRU2" s="1"/>
      <c r="CRV2" s="1"/>
      <c r="CRW2" s="1"/>
      <c r="CRX2" s="1"/>
      <c r="CRY2" s="1"/>
      <c r="CRZ2" s="1"/>
      <c r="CSA2" s="1"/>
      <c r="CSB2" s="1"/>
      <c r="CSC2" s="1"/>
      <c r="CSD2" s="1"/>
      <c r="CSE2" s="1"/>
      <c r="CSF2" s="1"/>
      <c r="CSG2" s="1"/>
      <c r="CSH2" s="1"/>
      <c r="CSI2" s="1"/>
      <c r="CSJ2" s="1"/>
      <c r="CSK2" s="1"/>
      <c r="CSL2" s="1"/>
      <c r="CSM2" s="1"/>
      <c r="CSN2" s="1"/>
      <c r="CSO2" s="1"/>
      <c r="CSP2" s="1"/>
      <c r="CSQ2" s="1"/>
      <c r="CSR2" s="1"/>
      <c r="CSS2" s="1"/>
      <c r="CST2" s="1"/>
      <c r="CSU2" s="1"/>
      <c r="CSV2" s="1"/>
      <c r="CSW2" s="1"/>
      <c r="CSX2" s="1"/>
      <c r="CSY2" s="1"/>
      <c r="CSZ2" s="1"/>
      <c r="CTA2" s="1"/>
      <c r="CTB2" s="1"/>
      <c r="CTC2" s="1"/>
      <c r="CTD2" s="1"/>
      <c r="CTE2" s="1"/>
      <c r="CTF2" s="1"/>
      <c r="CTG2" s="1"/>
      <c r="CTH2" s="1"/>
      <c r="CTI2" s="1"/>
      <c r="CTJ2" s="1"/>
      <c r="CTK2" s="1"/>
      <c r="CTL2" s="1"/>
      <c r="CTM2" s="1"/>
      <c r="CTN2" s="1"/>
      <c r="CTO2" s="1"/>
      <c r="CTP2" s="1"/>
      <c r="CTQ2" s="1"/>
      <c r="CTR2" s="1"/>
      <c r="CTS2" s="1"/>
      <c r="CTT2" s="1"/>
      <c r="CTU2" s="1"/>
      <c r="CTV2" s="1"/>
      <c r="CTW2" s="1"/>
      <c r="CTX2" s="1"/>
      <c r="CTY2" s="1"/>
      <c r="CTZ2" s="1"/>
      <c r="CUA2" s="1"/>
      <c r="CUB2" s="1"/>
      <c r="CUC2" s="1"/>
      <c r="CUD2" s="1"/>
      <c r="CUE2" s="1"/>
      <c r="CUF2" s="1"/>
      <c r="CUG2" s="1"/>
      <c r="CUH2" s="1"/>
      <c r="CUI2" s="1"/>
      <c r="CUJ2" s="1"/>
      <c r="CUK2" s="1"/>
      <c r="CUL2" s="1"/>
      <c r="CUM2" s="1"/>
      <c r="CUN2" s="1"/>
      <c r="CUO2" s="1"/>
      <c r="CUP2" s="1"/>
      <c r="CUQ2" s="1"/>
      <c r="CUR2" s="1"/>
      <c r="CUS2" s="1"/>
      <c r="CUT2" s="1"/>
      <c r="CUU2" s="1"/>
      <c r="CUV2" s="1"/>
      <c r="CUW2" s="1"/>
      <c r="CUX2" s="1"/>
      <c r="CUY2" s="1"/>
      <c r="CUZ2" s="1"/>
      <c r="CVA2" s="1"/>
      <c r="CVB2" s="1"/>
      <c r="CVC2" s="1"/>
      <c r="CVD2" s="1"/>
      <c r="CVE2" s="1"/>
      <c r="CVF2" s="1"/>
      <c r="CVG2" s="1"/>
      <c r="CVH2" s="1"/>
      <c r="CVI2" s="1"/>
      <c r="CVJ2" s="1"/>
      <c r="CVK2" s="1"/>
      <c r="CVL2" s="1"/>
      <c r="CVM2" s="1"/>
      <c r="CVN2" s="1"/>
      <c r="CVO2" s="1"/>
      <c r="CVP2" s="1"/>
      <c r="CVQ2" s="1"/>
      <c r="CVR2" s="1"/>
      <c r="CVS2" s="1"/>
      <c r="CVT2" s="1"/>
      <c r="CVU2" s="1"/>
      <c r="CVV2" s="1"/>
      <c r="CVW2" s="1"/>
    </row>
    <row r="3" spans="1:2623" customFormat="1" ht="14.5" x14ac:dyDescent="0.35">
      <c r="B3" s="108" t="s">
        <v>242</v>
      </c>
    </row>
    <row r="4" spans="1:2623" x14ac:dyDescent="0.3">
      <c r="B4" s="60" t="s">
        <v>243</v>
      </c>
    </row>
    <row r="6" spans="1:2623" ht="18" customHeight="1" x14ac:dyDescent="0.3">
      <c r="A6" s="82"/>
      <c r="B6" s="166" t="s">
        <v>244</v>
      </c>
      <c r="C6" s="167" t="s">
        <v>149</v>
      </c>
      <c r="D6" s="168"/>
      <c r="E6" s="168"/>
      <c r="F6" s="169"/>
      <c r="G6" s="167" t="s">
        <v>151</v>
      </c>
      <c r="H6" s="168"/>
      <c r="I6" s="168"/>
      <c r="J6" s="169"/>
      <c r="K6" s="167" t="s">
        <v>158</v>
      </c>
      <c r="L6" s="169"/>
      <c r="M6" s="171" t="s">
        <v>160</v>
      </c>
      <c r="N6" s="172"/>
      <c r="O6" s="170" t="s">
        <v>162</v>
      </c>
      <c r="P6" s="170" t="s">
        <v>166</v>
      </c>
      <c r="Q6" s="167" t="s">
        <v>164</v>
      </c>
      <c r="R6" s="168"/>
      <c r="S6" s="168"/>
      <c r="T6" s="168"/>
      <c r="U6" s="168"/>
      <c r="V6" s="168"/>
      <c r="W6" s="168"/>
      <c r="X6" s="168"/>
      <c r="Y6" s="168"/>
      <c r="Z6" s="169"/>
      <c r="AA6" s="170" t="s">
        <v>168</v>
      </c>
    </row>
    <row r="7" spans="1:2623" ht="18" customHeight="1" x14ac:dyDescent="0.3">
      <c r="A7" s="82"/>
      <c r="B7" s="166"/>
      <c r="C7" s="86" t="s">
        <v>245</v>
      </c>
      <c r="D7" s="87" t="s">
        <v>246</v>
      </c>
      <c r="E7" s="87" t="s">
        <v>247</v>
      </c>
      <c r="F7" s="88" t="s">
        <v>248</v>
      </c>
      <c r="G7" s="86" t="s">
        <v>249</v>
      </c>
      <c r="H7" s="87" t="s">
        <v>250</v>
      </c>
      <c r="I7" s="87" t="s">
        <v>251</v>
      </c>
      <c r="J7" s="88" t="s">
        <v>252</v>
      </c>
      <c r="K7" s="83" t="s">
        <v>253</v>
      </c>
      <c r="L7" s="84" t="s">
        <v>254</v>
      </c>
      <c r="M7" s="90" t="s">
        <v>255</v>
      </c>
      <c r="N7" s="89" t="s">
        <v>256</v>
      </c>
      <c r="O7" s="170"/>
      <c r="P7" s="170"/>
      <c r="Q7" s="85" t="s">
        <v>257</v>
      </c>
      <c r="R7" s="61" t="s">
        <v>258</v>
      </c>
      <c r="S7" s="61" t="s">
        <v>259</v>
      </c>
      <c r="T7" s="61" t="s">
        <v>260</v>
      </c>
      <c r="U7" s="61" t="s">
        <v>261</v>
      </c>
      <c r="V7" s="61" t="s">
        <v>262</v>
      </c>
      <c r="W7" s="61" t="s">
        <v>263</v>
      </c>
      <c r="X7" s="61" t="s">
        <v>264</v>
      </c>
      <c r="Y7" s="61" t="s">
        <v>265</v>
      </c>
      <c r="Z7" s="82" t="s">
        <v>266</v>
      </c>
      <c r="AA7" s="170"/>
    </row>
    <row r="8" spans="1:2623" x14ac:dyDescent="0.3">
      <c r="A8" s="82"/>
      <c r="B8" s="62" t="s">
        <v>149</v>
      </c>
      <c r="C8" s="100"/>
      <c r="D8" s="101"/>
      <c r="E8" s="101"/>
      <c r="F8" s="102"/>
      <c r="G8" s="91"/>
      <c r="H8" s="92"/>
      <c r="I8" s="92"/>
      <c r="J8" s="93"/>
      <c r="K8" s="94"/>
      <c r="L8" s="96"/>
      <c r="M8" s="94"/>
      <c r="N8" s="96"/>
      <c r="O8" s="107"/>
      <c r="P8" s="107"/>
      <c r="Q8" s="94"/>
      <c r="R8" s="95"/>
      <c r="S8" s="95"/>
      <c r="T8" s="95"/>
      <c r="U8" s="95"/>
      <c r="V8" s="95"/>
      <c r="W8" s="95"/>
      <c r="X8" s="95"/>
      <c r="Y8" s="95"/>
      <c r="Z8" s="96"/>
      <c r="AA8" s="107"/>
    </row>
    <row r="9" spans="1:2623" x14ac:dyDescent="0.3">
      <c r="A9" s="82"/>
      <c r="B9" s="62" t="s">
        <v>151</v>
      </c>
      <c r="C9" s="91"/>
      <c r="D9" s="92"/>
      <c r="E9" s="92"/>
      <c r="F9" s="93"/>
      <c r="G9" s="97"/>
      <c r="H9" s="98"/>
      <c r="I9" s="98"/>
      <c r="J9" s="99"/>
      <c r="K9" s="94"/>
      <c r="L9" s="96"/>
      <c r="M9" s="94"/>
      <c r="N9" s="96"/>
      <c r="O9" s="107"/>
      <c r="P9" s="107"/>
      <c r="Q9" s="94"/>
      <c r="R9" s="95"/>
      <c r="S9" s="95"/>
      <c r="T9" s="95"/>
      <c r="U9" s="95"/>
      <c r="V9" s="95"/>
      <c r="W9" s="95"/>
      <c r="X9" s="95"/>
      <c r="Y9" s="95"/>
      <c r="Z9" s="96"/>
      <c r="AA9" s="107"/>
    </row>
    <row r="10" spans="1:2623" x14ac:dyDescent="0.3">
      <c r="A10" s="82"/>
      <c r="B10" s="62" t="s">
        <v>154</v>
      </c>
      <c r="C10" s="91"/>
      <c r="D10" s="92"/>
      <c r="E10" s="92"/>
      <c r="F10" s="93"/>
      <c r="G10" s="94"/>
      <c r="H10" s="95"/>
      <c r="I10" s="95"/>
      <c r="J10" s="96"/>
      <c r="K10" s="94"/>
      <c r="L10" s="96"/>
      <c r="M10" s="94"/>
      <c r="N10" s="96"/>
      <c r="O10" s="107"/>
      <c r="P10" s="107"/>
      <c r="Q10" s="94"/>
      <c r="R10" s="95"/>
      <c r="S10" s="95"/>
      <c r="T10" s="95"/>
      <c r="U10" s="95"/>
      <c r="V10" s="95"/>
      <c r="W10" s="95"/>
      <c r="X10" s="95"/>
      <c r="Y10" s="95"/>
      <c r="Z10" s="96"/>
      <c r="AA10" s="107"/>
    </row>
    <row r="11" spans="1:2623" x14ac:dyDescent="0.3">
      <c r="A11" s="82"/>
      <c r="B11" s="62" t="s">
        <v>156</v>
      </c>
      <c r="C11" s="91"/>
      <c r="D11" s="92"/>
      <c r="E11" s="92"/>
      <c r="F11" s="93"/>
      <c r="G11" s="94"/>
      <c r="H11" s="95"/>
      <c r="I11" s="95"/>
      <c r="J11" s="96"/>
      <c r="K11" s="94"/>
      <c r="L11" s="96"/>
      <c r="M11" s="94"/>
      <c r="N11" s="96"/>
      <c r="O11" s="107"/>
      <c r="P11" s="107"/>
      <c r="Q11" s="94"/>
      <c r="R11" s="95"/>
      <c r="S11" s="95"/>
      <c r="T11" s="95"/>
      <c r="U11" s="95"/>
      <c r="V11" s="95"/>
      <c r="W11" s="95"/>
      <c r="X11" s="95"/>
      <c r="Y11" s="95"/>
      <c r="Z11" s="96"/>
      <c r="AA11" s="107"/>
    </row>
    <row r="12" spans="1:2623" x14ac:dyDescent="0.3">
      <c r="A12" s="82"/>
      <c r="B12" s="62" t="s">
        <v>158</v>
      </c>
      <c r="C12" s="91"/>
      <c r="D12" s="92"/>
      <c r="E12" s="92"/>
      <c r="F12" s="93"/>
      <c r="G12" s="94"/>
      <c r="H12" s="95"/>
      <c r="I12" s="95"/>
      <c r="J12" s="96"/>
      <c r="K12" s="97"/>
      <c r="L12" s="99"/>
      <c r="M12" s="94"/>
      <c r="N12" s="96"/>
      <c r="O12" s="107"/>
      <c r="P12" s="107"/>
      <c r="Q12" s="94"/>
      <c r="R12" s="95"/>
      <c r="S12" s="95"/>
      <c r="T12" s="95"/>
      <c r="U12" s="95"/>
      <c r="V12" s="95"/>
      <c r="W12" s="95"/>
      <c r="X12" s="95"/>
      <c r="Y12" s="95"/>
      <c r="Z12" s="96"/>
      <c r="AA12" s="107"/>
    </row>
    <row r="13" spans="1:2623" x14ac:dyDescent="0.3">
      <c r="A13" s="82"/>
      <c r="B13" s="62" t="s">
        <v>160</v>
      </c>
      <c r="C13" s="91"/>
      <c r="D13" s="92"/>
      <c r="E13" s="92"/>
      <c r="F13" s="93"/>
      <c r="G13" s="94"/>
      <c r="H13" s="95"/>
      <c r="I13" s="95"/>
      <c r="J13" s="96"/>
      <c r="K13" s="94"/>
      <c r="L13" s="96"/>
      <c r="M13" s="97"/>
      <c r="N13" s="99"/>
      <c r="O13" s="107"/>
      <c r="P13" s="107"/>
      <c r="Q13" s="94"/>
      <c r="R13" s="95"/>
      <c r="S13" s="95"/>
      <c r="T13" s="95"/>
      <c r="U13" s="95"/>
      <c r="V13" s="95"/>
      <c r="W13" s="95"/>
      <c r="X13" s="95"/>
      <c r="Y13" s="95"/>
      <c r="Z13" s="96"/>
      <c r="AA13" s="107"/>
    </row>
    <row r="14" spans="1:2623" x14ac:dyDescent="0.3">
      <c r="A14" s="82"/>
      <c r="B14" s="62" t="s">
        <v>162</v>
      </c>
      <c r="C14" s="91"/>
      <c r="D14" s="92"/>
      <c r="E14" s="92"/>
      <c r="F14" s="93"/>
      <c r="G14" s="94"/>
      <c r="H14" s="95"/>
      <c r="I14" s="95"/>
      <c r="J14" s="96"/>
      <c r="K14" s="94"/>
      <c r="L14" s="96"/>
      <c r="M14" s="94"/>
      <c r="N14" s="96"/>
      <c r="O14" s="109"/>
      <c r="P14" s="107"/>
      <c r="Q14" s="94"/>
      <c r="R14" s="95"/>
      <c r="S14" s="95"/>
      <c r="T14" s="95"/>
      <c r="U14" s="95"/>
      <c r="V14" s="95"/>
      <c r="W14" s="95"/>
      <c r="X14" s="95"/>
      <c r="Y14" s="95"/>
      <c r="Z14" s="96"/>
      <c r="AA14" s="107"/>
    </row>
    <row r="15" spans="1:2623" x14ac:dyDescent="0.3">
      <c r="A15" s="82"/>
      <c r="B15" s="62" t="s">
        <v>166</v>
      </c>
      <c r="C15" s="91"/>
      <c r="D15" s="92"/>
      <c r="E15" s="92"/>
      <c r="F15" s="93"/>
      <c r="G15" s="94"/>
      <c r="H15" s="95"/>
      <c r="I15" s="95"/>
      <c r="J15" s="96"/>
      <c r="K15" s="94"/>
      <c r="L15" s="96"/>
      <c r="M15" s="94"/>
      <c r="N15" s="96"/>
      <c r="O15" s="107"/>
      <c r="P15" s="103"/>
      <c r="Q15" s="94"/>
      <c r="R15" s="95"/>
      <c r="S15" s="95"/>
      <c r="T15" s="95"/>
      <c r="U15" s="95"/>
      <c r="V15" s="95"/>
      <c r="W15" s="95"/>
      <c r="X15" s="95"/>
      <c r="Y15" s="95"/>
      <c r="Z15" s="96"/>
      <c r="AA15" s="107"/>
    </row>
    <row r="16" spans="1:2623" x14ac:dyDescent="0.3">
      <c r="A16" s="82"/>
      <c r="B16" s="62" t="s">
        <v>164</v>
      </c>
      <c r="C16" s="91"/>
      <c r="D16" s="92"/>
      <c r="E16" s="92"/>
      <c r="F16" s="93"/>
      <c r="G16" s="94"/>
      <c r="H16" s="95"/>
      <c r="I16" s="95"/>
      <c r="J16" s="96"/>
      <c r="K16" s="94"/>
      <c r="L16" s="96"/>
      <c r="M16" s="94"/>
      <c r="N16" s="96"/>
      <c r="O16" s="107"/>
      <c r="P16" s="107"/>
      <c r="Q16" s="97"/>
      <c r="R16" s="98"/>
      <c r="S16" s="98"/>
      <c r="T16" s="98"/>
      <c r="U16" s="98"/>
      <c r="V16" s="98"/>
      <c r="W16" s="98"/>
      <c r="X16" s="98"/>
      <c r="Y16" s="98"/>
      <c r="Z16" s="99"/>
      <c r="AA16" s="107"/>
    </row>
    <row r="17" spans="1:27" x14ac:dyDescent="0.3">
      <c r="A17" s="82"/>
      <c r="B17" s="62" t="s">
        <v>168</v>
      </c>
      <c r="C17" s="91"/>
      <c r="D17" s="92"/>
      <c r="E17" s="92"/>
      <c r="F17" s="93"/>
      <c r="G17" s="94"/>
      <c r="H17" s="95"/>
      <c r="I17" s="95"/>
      <c r="J17" s="96"/>
      <c r="K17" s="94"/>
      <c r="L17" s="96"/>
      <c r="M17" s="94"/>
      <c r="N17" s="96"/>
      <c r="O17" s="107"/>
      <c r="P17" s="107"/>
      <c r="Q17" s="94"/>
      <c r="R17" s="95"/>
      <c r="S17" s="95"/>
      <c r="T17" s="95"/>
      <c r="U17" s="95"/>
      <c r="V17" s="95"/>
      <c r="W17" s="95"/>
      <c r="X17" s="95"/>
      <c r="Y17" s="95"/>
      <c r="Z17" s="96"/>
      <c r="AA17" s="103"/>
    </row>
    <row r="20" spans="1:27" x14ac:dyDescent="0.3">
      <c r="O20" s="61" t="s">
        <v>267</v>
      </c>
    </row>
  </sheetData>
  <mergeCells count="9">
    <mergeCell ref="B6:B7"/>
    <mergeCell ref="C6:F6"/>
    <mergeCell ref="G6:J6"/>
    <mergeCell ref="AA6:AA7"/>
    <mergeCell ref="K6:L6"/>
    <mergeCell ref="M6:N6"/>
    <mergeCell ref="Q6:Z6"/>
    <mergeCell ref="O6:O7"/>
    <mergeCell ref="P6:P7"/>
  </mergeCells>
  <phoneticPr fontId="16"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88977B-47F0-4739-9446-AED12C69E0EE}">
  <sheetPr codeName="Sheet6"/>
  <dimension ref="B2:CWC49"/>
  <sheetViews>
    <sheetView showGridLines="0" workbookViewId="0">
      <selection activeCell="F65" sqref="F65"/>
    </sheetView>
  </sheetViews>
  <sheetFormatPr defaultRowHeight="14.5" x14ac:dyDescent="0.35"/>
  <cols>
    <col min="1" max="1" width="1.84375" customWidth="1"/>
    <col min="2" max="2" width="16.15234375" customWidth="1"/>
    <col min="3" max="10" width="8.3828125" customWidth="1"/>
  </cols>
  <sheetData>
    <row r="2" spans="2:2629" ht="19" x14ac:dyDescent="0.35">
      <c r="B2" s="1" t="s">
        <v>268</v>
      </c>
      <c r="C2" s="1"/>
      <c r="D2" s="1"/>
      <c r="E2" s="1"/>
      <c r="F2" s="1"/>
      <c r="G2" s="1"/>
      <c r="H2" s="1"/>
      <c r="I2" s="1"/>
      <c r="J2" s="1"/>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1"/>
      <c r="AS2" s="1"/>
      <c r="AT2" s="1"/>
      <c r="AU2" s="1"/>
      <c r="AV2" s="1"/>
      <c r="AW2" s="1"/>
      <c r="AX2" s="1"/>
      <c r="AY2" s="1"/>
      <c r="AZ2" s="1"/>
      <c r="BA2" s="1"/>
      <c r="BB2" s="1"/>
      <c r="BC2" s="1"/>
      <c r="BD2" s="1"/>
      <c r="BE2" s="1"/>
      <c r="BF2" s="1"/>
      <c r="BG2" s="1"/>
      <c r="BH2" s="1"/>
      <c r="BI2" s="1"/>
      <c r="BJ2" s="1"/>
      <c r="BK2" s="1"/>
      <c r="BL2" s="1"/>
      <c r="BM2" s="1"/>
      <c r="BN2" s="1"/>
      <c r="BO2" s="1"/>
      <c r="BP2" s="1"/>
      <c r="BQ2" s="1"/>
      <c r="BR2" s="1"/>
      <c r="BS2" s="1"/>
      <c r="BT2" s="1"/>
      <c r="BU2" s="1"/>
      <c r="BV2" s="1"/>
      <c r="BW2" s="1"/>
      <c r="BX2" s="1"/>
      <c r="BY2" s="1"/>
      <c r="BZ2" s="1"/>
      <c r="CA2" s="1"/>
      <c r="CB2" s="1"/>
      <c r="CC2" s="1"/>
      <c r="CD2" s="1"/>
      <c r="CE2" s="1"/>
      <c r="CF2" s="1"/>
      <c r="CG2" s="1"/>
      <c r="CH2" s="1"/>
      <c r="CI2" s="1"/>
      <c r="CJ2" s="1"/>
      <c r="CK2" s="1"/>
      <c r="CL2" s="1"/>
      <c r="CM2" s="1"/>
      <c r="CN2" s="1"/>
      <c r="CO2" s="1"/>
      <c r="CP2" s="1"/>
      <c r="CQ2" s="1"/>
      <c r="CR2" s="1"/>
      <c r="CS2" s="1"/>
      <c r="CT2" s="1"/>
      <c r="CU2" s="1"/>
      <c r="CV2" s="1"/>
      <c r="CW2" s="1"/>
      <c r="CX2" s="1"/>
      <c r="CY2" s="1"/>
      <c r="CZ2" s="1"/>
      <c r="DA2" s="1"/>
      <c r="DB2" s="1"/>
      <c r="DC2" s="1"/>
      <c r="DD2" s="1"/>
      <c r="DE2" s="1"/>
      <c r="DF2" s="1"/>
      <c r="DG2" s="1"/>
      <c r="DH2" s="1"/>
      <c r="DI2" s="1"/>
      <c r="DJ2" s="1"/>
      <c r="DK2" s="1"/>
      <c r="DL2" s="1"/>
      <c r="DM2" s="1"/>
      <c r="DN2" s="1"/>
      <c r="DO2" s="1"/>
      <c r="DP2" s="1"/>
      <c r="DQ2" s="1"/>
      <c r="DR2" s="1"/>
      <c r="DS2" s="1"/>
      <c r="DT2" s="1"/>
      <c r="DU2" s="1"/>
      <c r="DV2" s="1"/>
      <c r="DW2" s="1"/>
      <c r="DX2" s="1"/>
      <c r="DY2" s="1"/>
      <c r="DZ2" s="1"/>
      <c r="EA2" s="1"/>
      <c r="EB2" s="1"/>
      <c r="EC2" s="1"/>
      <c r="ED2" s="1"/>
      <c r="EE2" s="1"/>
      <c r="EF2" s="1"/>
      <c r="EG2" s="1"/>
      <c r="EH2" s="1"/>
      <c r="EI2" s="1"/>
      <c r="EJ2" s="1"/>
      <c r="EK2" s="1"/>
      <c r="EL2" s="1"/>
      <c r="EM2" s="1"/>
      <c r="EN2" s="1"/>
      <c r="EO2" s="1"/>
      <c r="EP2" s="1"/>
      <c r="EQ2" s="1"/>
      <c r="ER2" s="1"/>
      <c r="ES2" s="1"/>
      <c r="ET2" s="1"/>
      <c r="EU2" s="1"/>
      <c r="EV2" s="1"/>
      <c r="EW2" s="1"/>
      <c r="EX2" s="1"/>
      <c r="EY2" s="1"/>
      <c r="EZ2" s="1"/>
      <c r="FA2" s="1"/>
      <c r="FB2" s="1"/>
      <c r="FC2" s="1"/>
      <c r="FD2" s="1"/>
      <c r="FE2" s="1"/>
      <c r="FF2" s="1"/>
      <c r="FG2" s="1"/>
      <c r="FH2" s="1"/>
      <c r="FI2" s="1"/>
      <c r="FJ2" s="1"/>
      <c r="FK2" s="1"/>
      <c r="FL2" s="1"/>
      <c r="FM2" s="1"/>
      <c r="FN2" s="1"/>
      <c r="FO2" s="1"/>
      <c r="FP2" s="1"/>
      <c r="FQ2" s="1"/>
      <c r="FR2" s="1"/>
      <c r="FS2" s="1"/>
      <c r="FT2" s="1"/>
      <c r="FU2" s="1"/>
      <c r="FV2" s="1"/>
      <c r="FW2" s="1"/>
      <c r="FX2" s="1"/>
      <c r="FY2" s="1"/>
      <c r="FZ2" s="1"/>
      <c r="GA2" s="1"/>
      <c r="GB2" s="1"/>
      <c r="GC2" s="1"/>
      <c r="GD2" s="1"/>
      <c r="GE2" s="1"/>
      <c r="GF2" s="1"/>
      <c r="GG2" s="1"/>
      <c r="GH2" s="1"/>
      <c r="GI2" s="1"/>
      <c r="GJ2" s="1"/>
      <c r="GK2" s="1"/>
      <c r="GL2" s="1"/>
      <c r="GM2" s="1"/>
      <c r="GN2" s="1"/>
      <c r="GO2" s="1"/>
      <c r="GP2" s="1"/>
      <c r="GQ2" s="1"/>
      <c r="GR2" s="1"/>
      <c r="GS2" s="1"/>
      <c r="GT2" s="1"/>
      <c r="GU2" s="1"/>
      <c r="GV2" s="1"/>
      <c r="GW2" s="1"/>
      <c r="GX2" s="1"/>
      <c r="GY2" s="1"/>
      <c r="GZ2" s="1"/>
      <c r="HA2" s="1"/>
      <c r="HB2" s="1"/>
      <c r="HC2" s="1"/>
      <c r="HD2" s="1"/>
      <c r="HE2" s="1"/>
      <c r="HF2" s="1"/>
      <c r="HG2" s="1"/>
      <c r="HH2" s="1"/>
      <c r="HI2" s="1"/>
      <c r="HJ2" s="1"/>
      <c r="HK2" s="1"/>
      <c r="HL2" s="1"/>
      <c r="HM2" s="1"/>
      <c r="HN2" s="1"/>
      <c r="HO2" s="1"/>
      <c r="HP2" s="1"/>
      <c r="HQ2" s="1"/>
      <c r="HR2" s="1"/>
      <c r="HS2" s="1"/>
      <c r="HT2" s="1"/>
      <c r="HU2" s="1"/>
      <c r="HV2" s="1"/>
      <c r="HW2" s="1"/>
      <c r="HX2" s="1"/>
      <c r="HY2" s="1"/>
      <c r="HZ2" s="1"/>
      <c r="IA2" s="1"/>
      <c r="IB2" s="1"/>
      <c r="IC2" s="1"/>
      <c r="ID2" s="1"/>
      <c r="IE2" s="1"/>
      <c r="IF2" s="1"/>
      <c r="IG2" s="1"/>
      <c r="IH2" s="1"/>
      <c r="II2" s="1"/>
      <c r="IJ2" s="1"/>
      <c r="IK2" s="1"/>
      <c r="IL2" s="1"/>
      <c r="IM2" s="1"/>
      <c r="IN2" s="1"/>
      <c r="IO2" s="1"/>
      <c r="IP2" s="1"/>
      <c r="IQ2" s="1"/>
      <c r="IR2" s="1"/>
      <c r="IS2" s="1"/>
      <c r="IT2" s="1"/>
      <c r="IU2" s="1"/>
      <c r="IV2" s="1"/>
      <c r="IW2" s="1"/>
      <c r="IX2" s="1"/>
      <c r="IY2" s="1"/>
      <c r="IZ2" s="1"/>
      <c r="JA2" s="1"/>
      <c r="JB2" s="1"/>
      <c r="JC2" s="1"/>
      <c r="JD2" s="1"/>
      <c r="JE2" s="1"/>
      <c r="JF2" s="1"/>
      <c r="JG2" s="1"/>
      <c r="JH2" s="1"/>
      <c r="JI2" s="1"/>
      <c r="JJ2" s="1"/>
      <c r="JK2" s="1"/>
      <c r="JL2" s="1"/>
      <c r="JM2" s="1"/>
      <c r="JN2" s="1"/>
      <c r="JO2" s="1"/>
      <c r="JP2" s="1"/>
      <c r="JQ2" s="1"/>
      <c r="JR2" s="1"/>
      <c r="JS2" s="1"/>
      <c r="JT2" s="1"/>
      <c r="JU2" s="1"/>
      <c r="JV2" s="1"/>
      <c r="JW2" s="1"/>
      <c r="JX2" s="1"/>
      <c r="JY2" s="1"/>
      <c r="JZ2" s="1"/>
      <c r="KA2" s="1"/>
      <c r="KB2" s="1"/>
      <c r="KC2" s="1"/>
      <c r="KD2" s="1"/>
      <c r="KE2" s="1"/>
      <c r="KF2" s="1"/>
      <c r="KG2" s="1"/>
      <c r="KH2" s="1"/>
      <c r="KI2" s="1"/>
      <c r="KJ2" s="1"/>
      <c r="KK2" s="1"/>
      <c r="KL2" s="1"/>
      <c r="KM2" s="1"/>
      <c r="KN2" s="1"/>
      <c r="KO2" s="1"/>
      <c r="KP2" s="1"/>
      <c r="KQ2" s="1"/>
      <c r="KR2" s="1"/>
      <c r="KS2" s="1"/>
      <c r="KT2" s="1"/>
      <c r="KU2" s="1"/>
      <c r="KV2" s="1"/>
      <c r="KW2" s="1"/>
      <c r="KX2" s="1"/>
      <c r="KY2" s="1"/>
      <c r="KZ2" s="1"/>
      <c r="LA2" s="1"/>
      <c r="LB2" s="1"/>
      <c r="LC2" s="1"/>
      <c r="LD2" s="1"/>
      <c r="LE2" s="1"/>
      <c r="LF2" s="1"/>
      <c r="LG2" s="1"/>
      <c r="LH2" s="1"/>
      <c r="LI2" s="1"/>
      <c r="LJ2" s="1"/>
      <c r="LK2" s="1"/>
      <c r="LL2" s="1"/>
      <c r="LM2" s="1"/>
      <c r="LN2" s="1"/>
      <c r="LO2" s="1"/>
      <c r="LP2" s="1"/>
      <c r="LQ2" s="1"/>
      <c r="LR2" s="1"/>
      <c r="LS2" s="1"/>
      <c r="LT2" s="1"/>
      <c r="LU2" s="1"/>
      <c r="LV2" s="1"/>
      <c r="LW2" s="1"/>
      <c r="LX2" s="1"/>
      <c r="LY2" s="1"/>
      <c r="LZ2" s="1"/>
      <c r="MA2" s="1"/>
      <c r="MB2" s="1"/>
      <c r="MC2" s="1"/>
      <c r="MD2" s="1"/>
      <c r="ME2" s="1"/>
      <c r="MF2" s="1"/>
      <c r="MG2" s="1"/>
      <c r="MH2" s="1"/>
      <c r="MI2" s="1"/>
      <c r="MJ2" s="1"/>
      <c r="MK2" s="1"/>
      <c r="ML2" s="1"/>
      <c r="MM2" s="1"/>
      <c r="MN2" s="1"/>
      <c r="MO2" s="1"/>
      <c r="MP2" s="1"/>
      <c r="MQ2" s="1"/>
      <c r="MR2" s="1"/>
      <c r="MS2" s="1"/>
      <c r="MT2" s="1"/>
      <c r="MU2" s="1"/>
      <c r="MV2" s="1"/>
      <c r="MW2" s="1"/>
      <c r="MX2" s="1"/>
      <c r="MY2" s="1"/>
      <c r="MZ2" s="1"/>
      <c r="NA2" s="1"/>
      <c r="NB2" s="1"/>
      <c r="NC2" s="1"/>
      <c r="ND2" s="1"/>
      <c r="NE2" s="1"/>
      <c r="NF2" s="1"/>
      <c r="NG2" s="1"/>
      <c r="NH2" s="1"/>
      <c r="NI2" s="1"/>
      <c r="NJ2" s="1"/>
      <c r="NK2" s="1"/>
      <c r="NL2" s="1"/>
      <c r="NM2" s="1"/>
      <c r="NN2" s="1"/>
      <c r="NO2" s="1"/>
      <c r="NP2" s="1"/>
      <c r="NQ2" s="1"/>
      <c r="NR2" s="1"/>
      <c r="NS2" s="1"/>
      <c r="NT2" s="1"/>
      <c r="NU2" s="1"/>
      <c r="NV2" s="1"/>
      <c r="NW2" s="1"/>
      <c r="NX2" s="1"/>
      <c r="NY2" s="1"/>
      <c r="NZ2" s="1"/>
      <c r="OA2" s="1"/>
      <c r="OB2" s="1"/>
      <c r="OC2" s="1"/>
      <c r="OD2" s="1"/>
      <c r="OE2" s="1"/>
      <c r="OF2" s="1"/>
      <c r="OG2" s="1"/>
      <c r="OH2" s="1"/>
      <c r="OI2" s="1"/>
      <c r="OJ2" s="1"/>
      <c r="OK2" s="1"/>
      <c r="OL2" s="1"/>
      <c r="OM2" s="1"/>
      <c r="ON2" s="1"/>
      <c r="OO2" s="1"/>
      <c r="OP2" s="1"/>
      <c r="OQ2" s="1"/>
      <c r="OR2" s="1"/>
      <c r="OS2" s="1"/>
      <c r="OT2" s="1"/>
      <c r="OU2" s="1"/>
      <c r="OV2" s="1"/>
      <c r="OW2" s="1"/>
      <c r="OX2" s="1"/>
      <c r="OY2" s="1"/>
      <c r="OZ2" s="1"/>
      <c r="PA2" s="1"/>
      <c r="PB2" s="1"/>
      <c r="PC2" s="1"/>
      <c r="PD2" s="1"/>
      <c r="PE2" s="1"/>
      <c r="PF2" s="1"/>
      <c r="PG2" s="1"/>
      <c r="PH2" s="1"/>
      <c r="PI2" s="1"/>
      <c r="PJ2" s="1"/>
      <c r="PK2" s="1"/>
      <c r="PL2" s="1"/>
      <c r="PM2" s="1"/>
      <c r="PN2" s="1"/>
      <c r="PO2" s="1"/>
      <c r="PP2" s="1"/>
      <c r="PQ2" s="1"/>
      <c r="PR2" s="1"/>
      <c r="PS2" s="1"/>
      <c r="PT2" s="1"/>
      <c r="PU2" s="1"/>
      <c r="PV2" s="1"/>
      <c r="PW2" s="1"/>
      <c r="PX2" s="1"/>
      <c r="PY2" s="1"/>
      <c r="PZ2" s="1"/>
      <c r="QA2" s="1"/>
      <c r="QB2" s="1"/>
      <c r="QC2" s="1"/>
      <c r="QD2" s="1"/>
      <c r="QE2" s="1"/>
      <c r="QF2" s="1"/>
      <c r="QG2" s="1"/>
      <c r="QH2" s="1"/>
      <c r="QI2" s="1"/>
      <c r="QJ2" s="1"/>
      <c r="QK2" s="1"/>
      <c r="QL2" s="1"/>
      <c r="QM2" s="1"/>
      <c r="QN2" s="1"/>
      <c r="QO2" s="1"/>
      <c r="QP2" s="1"/>
      <c r="QQ2" s="1"/>
      <c r="QR2" s="1"/>
      <c r="QS2" s="1"/>
      <c r="QT2" s="1"/>
      <c r="QU2" s="1"/>
      <c r="QV2" s="1"/>
      <c r="QW2" s="1"/>
      <c r="QX2" s="1"/>
      <c r="QY2" s="1"/>
      <c r="QZ2" s="1"/>
      <c r="RA2" s="1"/>
      <c r="RB2" s="1"/>
      <c r="RC2" s="1"/>
      <c r="RD2" s="1"/>
      <c r="RE2" s="1"/>
      <c r="RF2" s="1"/>
      <c r="RG2" s="1"/>
      <c r="RH2" s="1"/>
      <c r="RI2" s="1"/>
      <c r="RJ2" s="1"/>
      <c r="RK2" s="1"/>
      <c r="RL2" s="1"/>
      <c r="RM2" s="1"/>
      <c r="RN2" s="1"/>
      <c r="RO2" s="1"/>
      <c r="RP2" s="1"/>
      <c r="RQ2" s="1"/>
      <c r="RR2" s="1"/>
      <c r="RS2" s="1"/>
      <c r="RT2" s="1"/>
      <c r="RU2" s="1"/>
      <c r="RV2" s="1"/>
      <c r="RW2" s="1"/>
      <c r="RX2" s="1"/>
      <c r="RY2" s="1"/>
      <c r="RZ2" s="1"/>
      <c r="SA2" s="1"/>
      <c r="SB2" s="1"/>
      <c r="SC2" s="1"/>
      <c r="SD2" s="1"/>
      <c r="SE2" s="1"/>
      <c r="SF2" s="1"/>
      <c r="SG2" s="1"/>
      <c r="SH2" s="1"/>
      <c r="SI2" s="1"/>
      <c r="SJ2" s="1"/>
      <c r="SK2" s="1"/>
      <c r="SL2" s="1"/>
      <c r="SM2" s="1"/>
      <c r="SN2" s="1"/>
      <c r="SO2" s="1"/>
      <c r="SP2" s="1"/>
      <c r="SQ2" s="1"/>
      <c r="SR2" s="1"/>
      <c r="SS2" s="1"/>
      <c r="ST2" s="1"/>
      <c r="SU2" s="1"/>
      <c r="SV2" s="1"/>
      <c r="SW2" s="1"/>
      <c r="SX2" s="1"/>
      <c r="SY2" s="1"/>
      <c r="SZ2" s="1"/>
      <c r="TA2" s="1"/>
      <c r="TB2" s="1"/>
      <c r="TC2" s="1"/>
      <c r="TD2" s="1"/>
      <c r="TE2" s="1"/>
      <c r="TF2" s="1"/>
      <c r="TG2" s="1"/>
      <c r="TH2" s="1"/>
      <c r="TI2" s="1"/>
      <c r="TJ2" s="1"/>
      <c r="TK2" s="1"/>
      <c r="TL2" s="1"/>
      <c r="TM2" s="1"/>
      <c r="TN2" s="1"/>
      <c r="TO2" s="1"/>
      <c r="TP2" s="1"/>
      <c r="TQ2" s="1"/>
      <c r="TR2" s="1"/>
      <c r="TS2" s="1"/>
      <c r="TT2" s="1"/>
      <c r="TU2" s="1"/>
      <c r="TV2" s="1"/>
      <c r="TW2" s="1"/>
      <c r="TX2" s="1"/>
      <c r="TY2" s="1"/>
      <c r="TZ2" s="1"/>
      <c r="UA2" s="1"/>
      <c r="UB2" s="1"/>
      <c r="UC2" s="1"/>
      <c r="UD2" s="1"/>
      <c r="UE2" s="1"/>
      <c r="UF2" s="1"/>
      <c r="UG2" s="1"/>
      <c r="UH2" s="1"/>
      <c r="UI2" s="1"/>
      <c r="UJ2" s="1"/>
      <c r="UK2" s="1"/>
      <c r="UL2" s="1"/>
      <c r="UM2" s="1"/>
      <c r="UN2" s="1"/>
      <c r="UO2" s="1"/>
      <c r="UP2" s="1"/>
      <c r="UQ2" s="1"/>
      <c r="UR2" s="1"/>
      <c r="US2" s="1"/>
      <c r="UT2" s="1"/>
      <c r="UU2" s="1"/>
      <c r="UV2" s="1"/>
      <c r="UW2" s="1"/>
      <c r="UX2" s="1"/>
      <c r="UY2" s="1"/>
      <c r="UZ2" s="1"/>
      <c r="VA2" s="1"/>
      <c r="VB2" s="1"/>
      <c r="VC2" s="1"/>
      <c r="VD2" s="1"/>
      <c r="VE2" s="1"/>
      <c r="VF2" s="1"/>
      <c r="VG2" s="1"/>
      <c r="VH2" s="1"/>
      <c r="VI2" s="1"/>
      <c r="VJ2" s="1"/>
      <c r="VK2" s="1"/>
      <c r="VL2" s="1"/>
      <c r="VM2" s="1"/>
      <c r="VN2" s="1"/>
      <c r="VO2" s="1"/>
      <c r="VP2" s="1"/>
      <c r="VQ2" s="1"/>
      <c r="VR2" s="1"/>
      <c r="VS2" s="1"/>
      <c r="VT2" s="1"/>
      <c r="VU2" s="1"/>
      <c r="VV2" s="1"/>
      <c r="VW2" s="1"/>
      <c r="VX2" s="1"/>
      <c r="VY2" s="1"/>
      <c r="VZ2" s="1"/>
      <c r="WA2" s="1"/>
      <c r="WB2" s="1"/>
      <c r="WC2" s="1"/>
      <c r="WD2" s="1"/>
      <c r="WE2" s="1"/>
      <c r="WF2" s="1"/>
      <c r="WG2" s="1"/>
      <c r="WH2" s="1"/>
      <c r="WI2" s="1"/>
      <c r="WJ2" s="1"/>
      <c r="WK2" s="1"/>
      <c r="WL2" s="1"/>
      <c r="WM2" s="1"/>
      <c r="WN2" s="1"/>
      <c r="WO2" s="1"/>
      <c r="WP2" s="1"/>
      <c r="WQ2" s="1"/>
      <c r="WR2" s="1"/>
      <c r="WS2" s="1"/>
      <c r="WT2" s="1"/>
      <c r="WU2" s="1"/>
      <c r="WV2" s="1"/>
      <c r="WW2" s="1"/>
      <c r="WX2" s="1"/>
      <c r="WY2" s="1"/>
      <c r="WZ2" s="1"/>
      <c r="XA2" s="1"/>
      <c r="XB2" s="1"/>
      <c r="XC2" s="1"/>
      <c r="XD2" s="1"/>
      <c r="XE2" s="1"/>
      <c r="XF2" s="1"/>
      <c r="XG2" s="1"/>
      <c r="XH2" s="1"/>
      <c r="XI2" s="1"/>
      <c r="XJ2" s="1"/>
      <c r="XK2" s="1"/>
      <c r="XL2" s="1"/>
      <c r="XM2" s="1"/>
      <c r="XN2" s="1"/>
      <c r="XO2" s="1"/>
      <c r="XP2" s="1"/>
      <c r="XQ2" s="1"/>
      <c r="XR2" s="1"/>
      <c r="XS2" s="1"/>
      <c r="XT2" s="1"/>
      <c r="XU2" s="1"/>
      <c r="XV2" s="1"/>
      <c r="XW2" s="1"/>
      <c r="XX2" s="1"/>
      <c r="XY2" s="1"/>
      <c r="XZ2" s="1"/>
      <c r="YA2" s="1"/>
      <c r="YB2" s="1"/>
      <c r="YC2" s="1"/>
      <c r="YD2" s="1"/>
      <c r="YE2" s="1"/>
      <c r="YF2" s="1"/>
      <c r="YG2" s="1"/>
      <c r="YH2" s="1"/>
      <c r="YI2" s="1"/>
      <c r="YJ2" s="1"/>
      <c r="YK2" s="1"/>
      <c r="YL2" s="1"/>
      <c r="YM2" s="1"/>
      <c r="YN2" s="1"/>
      <c r="YO2" s="1"/>
      <c r="YP2" s="1"/>
      <c r="YQ2" s="1"/>
      <c r="YR2" s="1"/>
      <c r="YS2" s="1"/>
      <c r="YT2" s="1"/>
      <c r="YU2" s="1"/>
      <c r="YV2" s="1"/>
      <c r="YW2" s="1"/>
      <c r="YX2" s="1"/>
      <c r="YY2" s="1"/>
      <c r="YZ2" s="1"/>
      <c r="ZA2" s="1"/>
      <c r="ZB2" s="1"/>
      <c r="ZC2" s="1"/>
      <c r="ZD2" s="1"/>
      <c r="ZE2" s="1"/>
      <c r="ZF2" s="1"/>
      <c r="ZG2" s="1"/>
      <c r="ZH2" s="1"/>
      <c r="ZI2" s="1"/>
      <c r="ZJ2" s="1"/>
      <c r="ZK2" s="1"/>
      <c r="ZL2" s="1"/>
      <c r="ZM2" s="1"/>
      <c r="ZN2" s="1"/>
      <c r="ZO2" s="1"/>
      <c r="ZP2" s="1"/>
      <c r="ZQ2" s="1"/>
      <c r="ZR2" s="1"/>
      <c r="ZS2" s="1"/>
      <c r="ZT2" s="1"/>
      <c r="ZU2" s="1"/>
      <c r="ZV2" s="1"/>
      <c r="ZW2" s="1"/>
      <c r="ZX2" s="1"/>
      <c r="ZY2" s="1"/>
      <c r="ZZ2" s="1"/>
      <c r="AAA2" s="1"/>
      <c r="AAB2" s="1"/>
      <c r="AAC2" s="1"/>
      <c r="AAD2" s="1"/>
      <c r="AAE2" s="1"/>
      <c r="AAF2" s="1"/>
      <c r="AAG2" s="1"/>
      <c r="AAH2" s="1"/>
      <c r="AAI2" s="1"/>
      <c r="AAJ2" s="1"/>
      <c r="AAK2" s="1"/>
      <c r="AAL2" s="1"/>
      <c r="AAM2" s="1"/>
      <c r="AAN2" s="1"/>
      <c r="AAO2" s="1"/>
      <c r="AAP2" s="1"/>
      <c r="AAQ2" s="1"/>
      <c r="AAR2" s="1"/>
      <c r="AAS2" s="1"/>
      <c r="AAT2" s="1"/>
      <c r="AAU2" s="1"/>
      <c r="AAV2" s="1"/>
      <c r="AAW2" s="1"/>
      <c r="AAX2" s="1"/>
      <c r="AAY2" s="1"/>
      <c r="AAZ2" s="1"/>
      <c r="ABA2" s="1"/>
      <c r="ABB2" s="1"/>
      <c r="ABC2" s="1"/>
      <c r="ABD2" s="1"/>
      <c r="ABE2" s="1"/>
      <c r="ABF2" s="1"/>
      <c r="ABG2" s="1"/>
      <c r="ABH2" s="1"/>
      <c r="ABI2" s="1"/>
      <c r="ABJ2" s="1"/>
      <c r="ABK2" s="1"/>
      <c r="ABL2" s="1"/>
      <c r="ABM2" s="1"/>
      <c r="ABN2" s="1"/>
      <c r="ABO2" s="1"/>
      <c r="ABP2" s="1"/>
      <c r="ABQ2" s="1"/>
      <c r="ABR2" s="1"/>
      <c r="ABS2" s="1"/>
      <c r="ABT2" s="1"/>
      <c r="ABU2" s="1"/>
      <c r="ABV2" s="1"/>
      <c r="ABW2" s="1"/>
      <c r="ABX2" s="1"/>
      <c r="ABY2" s="1"/>
      <c r="ABZ2" s="1"/>
      <c r="ACA2" s="1"/>
      <c r="ACB2" s="1"/>
      <c r="ACC2" s="1"/>
      <c r="ACD2" s="1"/>
      <c r="ACE2" s="1"/>
      <c r="ACF2" s="1"/>
      <c r="ACG2" s="1"/>
      <c r="ACH2" s="1"/>
      <c r="ACI2" s="1"/>
      <c r="ACJ2" s="1"/>
      <c r="ACK2" s="1"/>
      <c r="ACL2" s="1"/>
      <c r="ACM2" s="1"/>
      <c r="ACN2" s="1"/>
      <c r="ACO2" s="1"/>
      <c r="ACP2" s="1"/>
      <c r="ACQ2" s="1"/>
      <c r="ACR2" s="1"/>
      <c r="ACS2" s="1"/>
      <c r="ACT2" s="1"/>
      <c r="ACU2" s="1"/>
      <c r="ACV2" s="1"/>
      <c r="ACW2" s="1"/>
      <c r="ACX2" s="1"/>
      <c r="ACY2" s="1"/>
      <c r="ACZ2" s="1"/>
      <c r="ADA2" s="1"/>
      <c r="ADB2" s="1"/>
      <c r="ADC2" s="1"/>
      <c r="ADD2" s="1"/>
      <c r="ADE2" s="1"/>
      <c r="ADF2" s="1"/>
      <c r="ADG2" s="1"/>
      <c r="ADH2" s="1"/>
      <c r="ADI2" s="1"/>
      <c r="ADJ2" s="1"/>
      <c r="ADK2" s="1"/>
      <c r="ADL2" s="1"/>
      <c r="ADM2" s="1"/>
      <c r="ADN2" s="1"/>
      <c r="ADO2" s="1"/>
      <c r="ADP2" s="1"/>
      <c r="ADQ2" s="1"/>
      <c r="ADR2" s="1"/>
      <c r="ADS2" s="1"/>
      <c r="ADT2" s="1"/>
      <c r="ADU2" s="1"/>
      <c r="ADV2" s="1"/>
      <c r="ADW2" s="1"/>
      <c r="ADX2" s="1"/>
      <c r="ADY2" s="1"/>
      <c r="ADZ2" s="1"/>
      <c r="AEA2" s="1"/>
      <c r="AEB2" s="1"/>
      <c r="AEC2" s="1"/>
      <c r="AED2" s="1"/>
      <c r="AEE2" s="1"/>
      <c r="AEF2" s="1"/>
      <c r="AEG2" s="1"/>
      <c r="AEH2" s="1"/>
      <c r="AEI2" s="1"/>
      <c r="AEJ2" s="1"/>
      <c r="AEK2" s="1"/>
      <c r="AEL2" s="1"/>
      <c r="AEM2" s="1"/>
      <c r="AEN2" s="1"/>
      <c r="AEO2" s="1"/>
      <c r="AEP2" s="1"/>
      <c r="AEQ2" s="1"/>
      <c r="AER2" s="1"/>
      <c r="AES2" s="1"/>
      <c r="AET2" s="1"/>
      <c r="AEU2" s="1"/>
      <c r="AEV2" s="1"/>
      <c r="AEW2" s="1"/>
      <c r="AEX2" s="1"/>
      <c r="AEY2" s="1"/>
      <c r="AEZ2" s="1"/>
      <c r="AFA2" s="1"/>
      <c r="AFB2" s="1"/>
      <c r="AFC2" s="1"/>
      <c r="AFD2" s="1"/>
      <c r="AFE2" s="1"/>
      <c r="AFF2" s="1"/>
      <c r="AFG2" s="1"/>
      <c r="AFH2" s="1"/>
      <c r="AFI2" s="1"/>
      <c r="AFJ2" s="1"/>
      <c r="AFK2" s="1"/>
      <c r="AFL2" s="1"/>
      <c r="AFM2" s="1"/>
      <c r="AFN2" s="1"/>
      <c r="AFO2" s="1"/>
      <c r="AFP2" s="1"/>
      <c r="AFQ2" s="1"/>
      <c r="AFR2" s="1"/>
      <c r="AFS2" s="1"/>
      <c r="AFT2" s="1"/>
      <c r="AFU2" s="1"/>
      <c r="AFV2" s="1"/>
      <c r="AFW2" s="1"/>
      <c r="AFX2" s="1"/>
      <c r="AFY2" s="1"/>
      <c r="AFZ2" s="1"/>
      <c r="AGA2" s="1"/>
      <c r="AGB2" s="1"/>
      <c r="AGC2" s="1"/>
      <c r="AGD2" s="1"/>
      <c r="AGE2" s="1"/>
      <c r="AGF2" s="1"/>
      <c r="AGG2" s="1"/>
      <c r="AGH2" s="1"/>
      <c r="AGI2" s="1"/>
      <c r="AGJ2" s="1"/>
      <c r="AGK2" s="1"/>
      <c r="AGL2" s="1"/>
      <c r="AGM2" s="1"/>
      <c r="AGN2" s="1"/>
      <c r="AGO2" s="1"/>
      <c r="AGP2" s="1"/>
      <c r="AGQ2" s="1"/>
      <c r="AGR2" s="1"/>
      <c r="AGS2" s="1"/>
      <c r="AGT2" s="1"/>
      <c r="AGU2" s="1"/>
      <c r="AGV2" s="1"/>
      <c r="AGW2" s="1"/>
      <c r="AGX2" s="1"/>
      <c r="AGY2" s="1"/>
      <c r="AGZ2" s="1"/>
      <c r="AHA2" s="1"/>
      <c r="AHB2" s="1"/>
      <c r="AHC2" s="1"/>
      <c r="AHD2" s="1"/>
      <c r="AHE2" s="1"/>
      <c r="AHF2" s="1"/>
      <c r="AHG2" s="1"/>
      <c r="AHH2" s="1"/>
      <c r="AHI2" s="1"/>
      <c r="AHJ2" s="1"/>
      <c r="AHK2" s="1"/>
      <c r="AHL2" s="1"/>
      <c r="AHM2" s="1"/>
      <c r="AHN2" s="1"/>
      <c r="AHO2" s="1"/>
      <c r="AHP2" s="1"/>
      <c r="AHQ2" s="1"/>
      <c r="AHR2" s="1"/>
      <c r="AHS2" s="1"/>
      <c r="AHT2" s="1"/>
      <c r="AHU2" s="1"/>
      <c r="AHV2" s="1"/>
      <c r="AHW2" s="1"/>
      <c r="AHX2" s="1"/>
      <c r="AHY2" s="1"/>
      <c r="AHZ2" s="1"/>
      <c r="AIA2" s="1"/>
      <c r="AIB2" s="1"/>
      <c r="AIC2" s="1"/>
      <c r="AID2" s="1"/>
      <c r="AIE2" s="1"/>
      <c r="AIF2" s="1"/>
      <c r="AIG2" s="1"/>
      <c r="AIH2" s="1"/>
      <c r="AII2" s="1"/>
      <c r="AIJ2" s="1"/>
      <c r="AIK2" s="1"/>
      <c r="AIL2" s="1"/>
      <c r="AIM2" s="1"/>
      <c r="AIN2" s="1"/>
      <c r="AIO2" s="1"/>
      <c r="AIP2" s="1"/>
      <c r="AIQ2" s="1"/>
      <c r="AIR2" s="1"/>
      <c r="AIS2" s="1"/>
      <c r="AIT2" s="1"/>
      <c r="AIU2" s="1"/>
      <c r="AIV2" s="1"/>
      <c r="AIW2" s="1"/>
      <c r="AIX2" s="1"/>
      <c r="AIY2" s="1"/>
      <c r="AIZ2" s="1"/>
      <c r="AJA2" s="1"/>
      <c r="AJB2" s="1"/>
      <c r="AJC2" s="1"/>
      <c r="AJD2" s="1"/>
      <c r="AJE2" s="1"/>
      <c r="AJF2" s="1"/>
      <c r="AJG2" s="1"/>
      <c r="AJH2" s="1"/>
      <c r="AJI2" s="1"/>
      <c r="AJJ2" s="1"/>
      <c r="AJK2" s="1"/>
      <c r="AJL2" s="1"/>
      <c r="AJM2" s="1"/>
      <c r="AJN2" s="1"/>
      <c r="AJO2" s="1"/>
      <c r="AJP2" s="1"/>
      <c r="AJQ2" s="1"/>
      <c r="AJR2" s="1"/>
      <c r="AJS2" s="1"/>
      <c r="AJT2" s="1"/>
      <c r="AJU2" s="1"/>
      <c r="AJV2" s="1"/>
      <c r="AJW2" s="1"/>
      <c r="AJX2" s="1"/>
      <c r="AJY2" s="1"/>
      <c r="AJZ2" s="1"/>
      <c r="AKA2" s="1"/>
      <c r="AKB2" s="1"/>
      <c r="AKC2" s="1"/>
      <c r="AKD2" s="1"/>
      <c r="AKE2" s="1"/>
      <c r="AKF2" s="1"/>
      <c r="AKG2" s="1"/>
      <c r="AKH2" s="1"/>
      <c r="AKI2" s="1"/>
      <c r="AKJ2" s="1"/>
      <c r="AKK2" s="1"/>
      <c r="AKL2" s="1"/>
      <c r="AKM2" s="1"/>
      <c r="AKN2" s="1"/>
      <c r="AKO2" s="1"/>
      <c r="AKP2" s="1"/>
      <c r="AKQ2" s="1"/>
      <c r="AKR2" s="1"/>
      <c r="AKS2" s="1"/>
      <c r="AKT2" s="1"/>
      <c r="AKU2" s="1"/>
      <c r="AKV2" s="1"/>
      <c r="AKW2" s="1"/>
      <c r="AKX2" s="1"/>
      <c r="AKY2" s="1"/>
      <c r="AKZ2" s="1"/>
      <c r="ALA2" s="1"/>
      <c r="ALB2" s="1"/>
      <c r="ALC2" s="1"/>
      <c r="ALD2" s="1"/>
      <c r="ALE2" s="1"/>
      <c r="ALF2" s="1"/>
      <c r="ALG2" s="1"/>
      <c r="ALH2" s="1"/>
      <c r="ALI2" s="1"/>
      <c r="ALJ2" s="1"/>
      <c r="ALK2" s="1"/>
      <c r="ALL2" s="1"/>
      <c r="ALM2" s="1"/>
      <c r="ALN2" s="1"/>
      <c r="ALO2" s="1"/>
      <c r="ALP2" s="1"/>
      <c r="ALQ2" s="1"/>
      <c r="ALR2" s="1"/>
      <c r="ALS2" s="1"/>
      <c r="ALT2" s="1"/>
      <c r="ALU2" s="1"/>
      <c r="ALV2" s="1"/>
      <c r="ALW2" s="1"/>
      <c r="ALX2" s="1"/>
      <c r="ALY2" s="1"/>
      <c r="ALZ2" s="1"/>
      <c r="AMA2" s="1"/>
      <c r="AMB2" s="1"/>
      <c r="AMC2" s="1"/>
      <c r="AMD2" s="1"/>
      <c r="AME2" s="1"/>
      <c r="AMF2" s="1"/>
      <c r="AMG2" s="1"/>
      <c r="AMH2" s="1"/>
      <c r="AMI2" s="1"/>
      <c r="AMJ2" s="1"/>
      <c r="AMK2" s="1"/>
      <c r="AML2" s="1"/>
      <c r="AMM2" s="1"/>
      <c r="AMN2" s="1"/>
      <c r="AMO2" s="1"/>
      <c r="AMP2" s="1"/>
      <c r="AMQ2" s="1"/>
      <c r="AMR2" s="1"/>
      <c r="AMS2" s="1"/>
      <c r="AMT2" s="1"/>
      <c r="AMU2" s="1"/>
      <c r="AMV2" s="1"/>
      <c r="AMW2" s="1"/>
      <c r="AMX2" s="1"/>
      <c r="AMY2" s="1"/>
      <c r="AMZ2" s="1"/>
      <c r="ANA2" s="1"/>
      <c r="ANB2" s="1"/>
      <c r="ANC2" s="1"/>
      <c r="AND2" s="1"/>
      <c r="ANE2" s="1"/>
      <c r="ANF2" s="1"/>
      <c r="ANG2" s="1"/>
      <c r="ANH2" s="1"/>
      <c r="ANI2" s="1"/>
      <c r="ANJ2" s="1"/>
      <c r="ANK2" s="1"/>
      <c r="ANL2" s="1"/>
      <c r="ANM2" s="1"/>
      <c r="ANN2" s="1"/>
      <c r="ANO2" s="1"/>
      <c r="ANP2" s="1"/>
      <c r="ANQ2" s="1"/>
      <c r="ANR2" s="1"/>
      <c r="ANS2" s="1"/>
      <c r="ANT2" s="1"/>
      <c r="ANU2" s="1"/>
      <c r="ANV2" s="1"/>
      <c r="ANW2" s="1"/>
      <c r="ANX2" s="1"/>
      <c r="ANY2" s="1"/>
      <c r="ANZ2" s="1"/>
      <c r="AOA2" s="1"/>
      <c r="AOB2" s="1"/>
      <c r="AOC2" s="1"/>
      <c r="AOD2" s="1"/>
      <c r="AOE2" s="1"/>
      <c r="AOF2" s="1"/>
      <c r="AOG2" s="1"/>
      <c r="AOH2" s="1"/>
      <c r="AOI2" s="1"/>
      <c r="AOJ2" s="1"/>
      <c r="AOK2" s="1"/>
      <c r="AOL2" s="1"/>
      <c r="AOM2" s="1"/>
      <c r="AON2" s="1"/>
      <c r="AOO2" s="1"/>
      <c r="AOP2" s="1"/>
      <c r="AOQ2" s="1"/>
      <c r="AOR2" s="1"/>
      <c r="AOS2" s="1"/>
      <c r="AOT2" s="1"/>
      <c r="AOU2" s="1"/>
      <c r="AOV2" s="1"/>
      <c r="AOW2" s="1"/>
      <c r="AOX2" s="1"/>
      <c r="AOY2" s="1"/>
      <c r="AOZ2" s="1"/>
      <c r="APA2" s="1"/>
      <c r="APB2" s="1"/>
      <c r="APC2" s="1"/>
      <c r="APD2" s="1"/>
      <c r="APE2" s="1"/>
      <c r="APF2" s="1"/>
      <c r="APG2" s="1"/>
      <c r="APH2" s="1"/>
      <c r="API2" s="1"/>
      <c r="APJ2" s="1"/>
      <c r="APK2" s="1"/>
      <c r="APL2" s="1"/>
      <c r="APM2" s="1"/>
      <c r="APN2" s="1"/>
      <c r="APO2" s="1"/>
      <c r="APP2" s="1"/>
      <c r="APQ2" s="1"/>
      <c r="APR2" s="1"/>
      <c r="APS2" s="1"/>
      <c r="APT2" s="1"/>
      <c r="APU2" s="1"/>
      <c r="APV2" s="1"/>
      <c r="APW2" s="1"/>
      <c r="APX2" s="1"/>
      <c r="APY2" s="1"/>
      <c r="APZ2" s="1"/>
      <c r="AQA2" s="1"/>
      <c r="AQB2" s="1"/>
      <c r="AQC2" s="1"/>
      <c r="AQD2" s="1"/>
      <c r="AQE2" s="1"/>
      <c r="AQF2" s="1"/>
      <c r="AQG2" s="1"/>
      <c r="AQH2" s="1"/>
      <c r="AQI2" s="1"/>
      <c r="AQJ2" s="1"/>
      <c r="AQK2" s="1"/>
      <c r="AQL2" s="1"/>
      <c r="AQM2" s="1"/>
      <c r="AQN2" s="1"/>
      <c r="AQO2" s="1"/>
      <c r="AQP2" s="1"/>
      <c r="AQQ2" s="1"/>
      <c r="AQR2" s="1"/>
      <c r="AQS2" s="1"/>
      <c r="AQT2" s="1"/>
      <c r="AQU2" s="1"/>
      <c r="AQV2" s="1"/>
      <c r="AQW2" s="1"/>
      <c r="AQX2" s="1"/>
      <c r="AQY2" s="1"/>
      <c r="AQZ2" s="1"/>
      <c r="ARA2" s="1"/>
      <c r="ARB2" s="1"/>
      <c r="ARC2" s="1"/>
      <c r="ARD2" s="1"/>
      <c r="ARE2" s="1"/>
      <c r="ARF2" s="1"/>
      <c r="ARG2" s="1"/>
      <c r="ARH2" s="1"/>
      <c r="ARI2" s="1"/>
      <c r="ARJ2" s="1"/>
      <c r="ARK2" s="1"/>
      <c r="ARL2" s="1"/>
      <c r="ARM2" s="1"/>
      <c r="ARN2" s="1"/>
      <c r="ARO2" s="1"/>
      <c r="ARP2" s="1"/>
      <c r="ARQ2" s="1"/>
      <c r="ARR2" s="1"/>
      <c r="ARS2" s="1"/>
      <c r="ART2" s="1"/>
      <c r="ARU2" s="1"/>
      <c r="ARV2" s="1"/>
      <c r="ARW2" s="1"/>
      <c r="ARX2" s="1"/>
      <c r="ARY2" s="1"/>
      <c r="ARZ2" s="1"/>
      <c r="ASA2" s="1"/>
      <c r="ASB2" s="1"/>
      <c r="ASC2" s="1"/>
      <c r="ASD2" s="1"/>
      <c r="ASE2" s="1"/>
      <c r="ASF2" s="1"/>
      <c r="ASG2" s="1"/>
      <c r="ASH2" s="1"/>
      <c r="ASI2" s="1"/>
      <c r="ASJ2" s="1"/>
      <c r="ASK2" s="1"/>
      <c r="ASL2" s="1"/>
      <c r="ASM2" s="1"/>
      <c r="ASN2" s="1"/>
      <c r="ASO2" s="1"/>
      <c r="ASP2" s="1"/>
      <c r="ASQ2" s="1"/>
      <c r="ASR2" s="1"/>
      <c r="ASS2" s="1"/>
      <c r="AST2" s="1"/>
      <c r="ASU2" s="1"/>
      <c r="ASV2" s="1"/>
      <c r="ASW2" s="1"/>
      <c r="ASX2" s="1"/>
      <c r="ASY2" s="1"/>
      <c r="ASZ2" s="1"/>
      <c r="ATA2" s="1"/>
      <c r="ATB2" s="1"/>
      <c r="ATC2" s="1"/>
      <c r="ATD2" s="1"/>
      <c r="ATE2" s="1"/>
      <c r="ATF2" s="1"/>
      <c r="ATG2" s="1"/>
      <c r="ATH2" s="1"/>
      <c r="ATI2" s="1"/>
      <c r="ATJ2" s="1"/>
      <c r="ATK2" s="1"/>
      <c r="ATL2" s="1"/>
      <c r="ATM2" s="1"/>
      <c r="ATN2" s="1"/>
      <c r="ATO2" s="1"/>
      <c r="ATP2" s="1"/>
      <c r="ATQ2" s="1"/>
      <c r="ATR2" s="1"/>
      <c r="ATS2" s="1"/>
      <c r="ATT2" s="1"/>
      <c r="ATU2" s="1"/>
      <c r="ATV2" s="1"/>
      <c r="ATW2" s="1"/>
      <c r="ATX2" s="1"/>
      <c r="ATY2" s="1"/>
      <c r="ATZ2" s="1"/>
      <c r="AUA2" s="1"/>
      <c r="AUB2" s="1"/>
      <c r="AUC2" s="1"/>
      <c r="AUD2" s="1"/>
      <c r="AUE2" s="1"/>
      <c r="AUF2" s="1"/>
      <c r="AUG2" s="1"/>
      <c r="AUH2" s="1"/>
      <c r="AUI2" s="1"/>
      <c r="AUJ2" s="1"/>
      <c r="AUK2" s="1"/>
      <c r="AUL2" s="1"/>
      <c r="AUM2" s="1"/>
      <c r="AUN2" s="1"/>
      <c r="AUO2" s="1"/>
      <c r="AUP2" s="1"/>
      <c r="AUQ2" s="1"/>
      <c r="AUR2" s="1"/>
      <c r="AUS2" s="1"/>
      <c r="AUT2" s="1"/>
      <c r="AUU2" s="1"/>
      <c r="AUV2" s="1"/>
      <c r="AUW2" s="1"/>
      <c r="AUX2" s="1"/>
      <c r="AUY2" s="1"/>
      <c r="AUZ2" s="1"/>
      <c r="AVA2" s="1"/>
      <c r="AVB2" s="1"/>
      <c r="AVC2" s="1"/>
      <c r="AVD2" s="1"/>
      <c r="AVE2" s="1"/>
      <c r="AVF2" s="1"/>
      <c r="AVG2" s="1"/>
      <c r="AVH2" s="1"/>
      <c r="AVI2" s="1"/>
      <c r="AVJ2" s="1"/>
      <c r="AVK2" s="1"/>
      <c r="AVL2" s="1"/>
      <c r="AVM2" s="1"/>
      <c r="AVN2" s="1"/>
      <c r="AVO2" s="1"/>
      <c r="AVP2" s="1"/>
      <c r="AVQ2" s="1"/>
      <c r="AVR2" s="1"/>
      <c r="AVS2" s="1"/>
      <c r="AVT2" s="1"/>
      <c r="AVU2" s="1"/>
      <c r="AVV2" s="1"/>
      <c r="AVW2" s="1"/>
      <c r="AVX2" s="1"/>
      <c r="AVY2" s="1"/>
      <c r="AVZ2" s="1"/>
      <c r="AWA2" s="1"/>
      <c r="AWB2" s="1"/>
      <c r="AWC2" s="1"/>
      <c r="AWD2" s="1"/>
      <c r="AWE2" s="1"/>
      <c r="AWF2" s="1"/>
      <c r="AWG2" s="1"/>
      <c r="AWH2" s="1"/>
      <c r="AWI2" s="1"/>
      <c r="AWJ2" s="1"/>
      <c r="AWK2" s="1"/>
      <c r="AWL2" s="1"/>
      <c r="AWM2" s="1"/>
      <c r="AWN2" s="1"/>
      <c r="AWO2" s="1"/>
      <c r="AWP2" s="1"/>
      <c r="AWQ2" s="1"/>
      <c r="AWR2" s="1"/>
      <c r="AWS2" s="1"/>
      <c r="AWT2" s="1"/>
      <c r="AWU2" s="1"/>
      <c r="AWV2" s="1"/>
      <c r="AWW2" s="1"/>
      <c r="AWX2" s="1"/>
      <c r="AWY2" s="1"/>
      <c r="AWZ2" s="1"/>
      <c r="AXA2" s="1"/>
      <c r="AXB2" s="1"/>
      <c r="AXC2" s="1"/>
      <c r="AXD2" s="1"/>
      <c r="AXE2" s="1"/>
      <c r="AXF2" s="1"/>
      <c r="AXG2" s="1"/>
      <c r="AXH2" s="1"/>
      <c r="AXI2" s="1"/>
      <c r="AXJ2" s="1"/>
      <c r="AXK2" s="1"/>
      <c r="AXL2" s="1"/>
      <c r="AXM2" s="1"/>
      <c r="AXN2" s="1"/>
      <c r="AXO2" s="1"/>
      <c r="AXP2" s="1"/>
      <c r="AXQ2" s="1"/>
      <c r="AXR2" s="1"/>
      <c r="AXS2" s="1"/>
      <c r="AXT2" s="1"/>
      <c r="AXU2" s="1"/>
      <c r="AXV2" s="1"/>
      <c r="AXW2" s="1"/>
      <c r="AXX2" s="1"/>
      <c r="AXY2" s="1"/>
      <c r="AXZ2" s="1"/>
      <c r="AYA2" s="1"/>
      <c r="AYB2" s="1"/>
      <c r="AYC2" s="1"/>
      <c r="AYD2" s="1"/>
      <c r="AYE2" s="1"/>
      <c r="AYF2" s="1"/>
      <c r="AYG2" s="1"/>
      <c r="AYH2" s="1"/>
      <c r="AYI2" s="1"/>
      <c r="AYJ2" s="1"/>
      <c r="AYK2" s="1"/>
      <c r="AYL2" s="1"/>
      <c r="AYM2" s="1"/>
      <c r="AYN2" s="1"/>
      <c r="AYO2" s="1"/>
      <c r="AYP2" s="1"/>
      <c r="AYQ2" s="1"/>
      <c r="AYR2" s="1"/>
      <c r="AYS2" s="1"/>
      <c r="AYT2" s="1"/>
      <c r="AYU2" s="1"/>
      <c r="AYV2" s="1"/>
      <c r="AYW2" s="1"/>
      <c r="AYX2" s="1"/>
      <c r="AYY2" s="1"/>
      <c r="AYZ2" s="1"/>
      <c r="AZA2" s="1"/>
      <c r="AZB2" s="1"/>
      <c r="AZC2" s="1"/>
      <c r="AZD2" s="1"/>
      <c r="AZE2" s="1"/>
      <c r="AZF2" s="1"/>
      <c r="AZG2" s="1"/>
      <c r="AZH2" s="1"/>
      <c r="AZI2" s="1"/>
      <c r="AZJ2" s="1"/>
      <c r="AZK2" s="1"/>
      <c r="AZL2" s="1"/>
      <c r="AZM2" s="1"/>
      <c r="AZN2" s="1"/>
      <c r="AZO2" s="1"/>
      <c r="AZP2" s="1"/>
      <c r="AZQ2" s="1"/>
      <c r="AZR2" s="1"/>
      <c r="AZS2" s="1"/>
      <c r="AZT2" s="1"/>
      <c r="AZU2" s="1"/>
      <c r="AZV2" s="1"/>
      <c r="AZW2" s="1"/>
      <c r="AZX2" s="1"/>
      <c r="AZY2" s="1"/>
      <c r="AZZ2" s="1"/>
      <c r="BAA2" s="1"/>
      <c r="BAB2" s="1"/>
      <c r="BAC2" s="1"/>
      <c r="BAD2" s="1"/>
      <c r="BAE2" s="1"/>
      <c r="BAF2" s="1"/>
      <c r="BAG2" s="1"/>
      <c r="BAH2" s="1"/>
      <c r="BAI2" s="1"/>
      <c r="BAJ2" s="1"/>
      <c r="BAK2" s="1"/>
      <c r="BAL2" s="1"/>
      <c r="BAM2" s="1"/>
      <c r="BAN2" s="1"/>
      <c r="BAO2" s="1"/>
      <c r="BAP2" s="1"/>
      <c r="BAQ2" s="1"/>
      <c r="BAR2" s="1"/>
      <c r="BAS2" s="1"/>
      <c r="BAT2" s="1"/>
      <c r="BAU2" s="1"/>
      <c r="BAV2" s="1"/>
      <c r="BAW2" s="1"/>
      <c r="BAX2" s="1"/>
      <c r="BAY2" s="1"/>
      <c r="BAZ2" s="1"/>
      <c r="BBA2" s="1"/>
      <c r="BBB2" s="1"/>
      <c r="BBC2" s="1"/>
      <c r="BBD2" s="1"/>
      <c r="BBE2" s="1"/>
      <c r="BBF2" s="1"/>
      <c r="BBG2" s="1"/>
      <c r="BBH2" s="1"/>
      <c r="BBI2" s="1"/>
      <c r="BBJ2" s="1"/>
      <c r="BBK2" s="1"/>
      <c r="BBL2" s="1"/>
      <c r="BBM2" s="1"/>
      <c r="BBN2" s="1"/>
      <c r="BBO2" s="1"/>
      <c r="BBP2" s="1"/>
      <c r="BBQ2" s="1"/>
      <c r="BBR2" s="1"/>
      <c r="BBS2" s="1"/>
      <c r="BBT2" s="1"/>
      <c r="BBU2" s="1"/>
      <c r="BBV2" s="1"/>
      <c r="BBW2" s="1"/>
      <c r="BBX2" s="1"/>
      <c r="BBY2" s="1"/>
      <c r="BBZ2" s="1"/>
      <c r="BCA2" s="1"/>
      <c r="BCB2" s="1"/>
      <c r="BCC2" s="1"/>
      <c r="BCD2" s="1"/>
      <c r="BCE2" s="1"/>
      <c r="BCF2" s="1"/>
      <c r="BCG2" s="1"/>
      <c r="BCH2" s="1"/>
      <c r="BCI2" s="1"/>
      <c r="BCJ2" s="1"/>
      <c r="BCK2" s="1"/>
      <c r="BCL2" s="1"/>
      <c r="BCM2" s="1"/>
      <c r="BCN2" s="1"/>
      <c r="BCO2" s="1"/>
      <c r="BCP2" s="1"/>
      <c r="BCQ2" s="1"/>
      <c r="BCR2" s="1"/>
      <c r="BCS2" s="1"/>
      <c r="BCT2" s="1"/>
      <c r="BCU2" s="1"/>
      <c r="BCV2" s="1"/>
      <c r="BCW2" s="1"/>
      <c r="BCX2" s="1"/>
      <c r="BCY2" s="1"/>
      <c r="BCZ2" s="1"/>
      <c r="BDA2" s="1"/>
      <c r="BDB2" s="1"/>
      <c r="BDC2" s="1"/>
      <c r="BDD2" s="1"/>
      <c r="BDE2" s="1"/>
      <c r="BDF2" s="1"/>
      <c r="BDG2" s="1"/>
      <c r="BDH2" s="1"/>
      <c r="BDI2" s="1"/>
      <c r="BDJ2" s="1"/>
      <c r="BDK2" s="1"/>
      <c r="BDL2" s="1"/>
      <c r="BDM2" s="1"/>
      <c r="BDN2" s="1"/>
      <c r="BDO2" s="1"/>
      <c r="BDP2" s="1"/>
      <c r="BDQ2" s="1"/>
      <c r="BDR2" s="1"/>
      <c r="BDS2" s="1"/>
      <c r="BDT2" s="1"/>
      <c r="BDU2" s="1"/>
      <c r="BDV2" s="1"/>
      <c r="BDW2" s="1"/>
      <c r="BDX2" s="1"/>
      <c r="BDY2" s="1"/>
      <c r="BDZ2" s="1"/>
      <c r="BEA2" s="1"/>
      <c r="BEB2" s="1"/>
      <c r="BEC2" s="1"/>
      <c r="BED2" s="1"/>
      <c r="BEE2" s="1"/>
      <c r="BEF2" s="1"/>
      <c r="BEG2" s="1"/>
      <c r="BEH2" s="1"/>
      <c r="BEI2" s="1"/>
      <c r="BEJ2" s="1"/>
      <c r="BEK2" s="1"/>
      <c r="BEL2" s="1"/>
      <c r="BEM2" s="1"/>
      <c r="BEN2" s="1"/>
      <c r="BEO2" s="1"/>
      <c r="BEP2" s="1"/>
      <c r="BEQ2" s="1"/>
      <c r="BER2" s="1"/>
      <c r="BES2" s="1"/>
      <c r="BET2" s="1"/>
      <c r="BEU2" s="1"/>
      <c r="BEV2" s="1"/>
      <c r="BEW2" s="1"/>
      <c r="BEX2" s="1"/>
      <c r="BEY2" s="1"/>
      <c r="BEZ2" s="1"/>
      <c r="BFA2" s="1"/>
      <c r="BFB2" s="1"/>
      <c r="BFC2" s="1"/>
      <c r="BFD2" s="1"/>
      <c r="BFE2" s="1"/>
      <c r="BFF2" s="1"/>
      <c r="BFG2" s="1"/>
      <c r="BFH2" s="1"/>
      <c r="BFI2" s="1"/>
      <c r="BFJ2" s="1"/>
      <c r="BFK2" s="1"/>
      <c r="BFL2" s="1"/>
      <c r="BFM2" s="1"/>
      <c r="BFN2" s="1"/>
      <c r="BFO2" s="1"/>
      <c r="BFP2" s="1"/>
      <c r="BFQ2" s="1"/>
      <c r="BFR2" s="1"/>
      <c r="BFS2" s="1"/>
      <c r="BFT2" s="1"/>
      <c r="BFU2" s="1"/>
      <c r="BFV2" s="1"/>
      <c r="BFW2" s="1"/>
      <c r="BFX2" s="1"/>
      <c r="BFY2" s="1"/>
      <c r="BFZ2" s="1"/>
      <c r="BGA2" s="1"/>
      <c r="BGB2" s="1"/>
      <c r="BGC2" s="1"/>
      <c r="BGD2" s="1"/>
      <c r="BGE2" s="1"/>
      <c r="BGF2" s="1"/>
      <c r="BGG2" s="1"/>
      <c r="BGH2" s="1"/>
      <c r="BGI2" s="1"/>
      <c r="BGJ2" s="1"/>
      <c r="BGK2" s="1"/>
      <c r="BGL2" s="1"/>
      <c r="BGM2" s="1"/>
      <c r="BGN2" s="1"/>
      <c r="BGO2" s="1"/>
      <c r="BGP2" s="1"/>
      <c r="BGQ2" s="1"/>
      <c r="BGR2" s="1"/>
      <c r="BGS2" s="1"/>
      <c r="BGT2" s="1"/>
      <c r="BGU2" s="1"/>
      <c r="BGV2" s="1"/>
      <c r="BGW2" s="1"/>
      <c r="BGX2" s="1"/>
      <c r="BGY2" s="1"/>
      <c r="BGZ2" s="1"/>
      <c r="BHA2" s="1"/>
      <c r="BHB2" s="1"/>
      <c r="BHC2" s="1"/>
      <c r="BHD2" s="1"/>
      <c r="BHE2" s="1"/>
      <c r="BHF2" s="1"/>
      <c r="BHG2" s="1"/>
      <c r="BHH2" s="1"/>
      <c r="BHI2" s="1"/>
      <c r="BHJ2" s="1"/>
      <c r="BHK2" s="1"/>
      <c r="BHL2" s="1"/>
      <c r="BHM2" s="1"/>
      <c r="BHN2" s="1"/>
      <c r="BHO2" s="1"/>
      <c r="BHP2" s="1"/>
      <c r="BHQ2" s="1"/>
      <c r="BHR2" s="1"/>
      <c r="BHS2" s="1"/>
      <c r="BHT2" s="1"/>
      <c r="BHU2" s="1"/>
      <c r="BHV2" s="1"/>
      <c r="BHW2" s="1"/>
      <c r="BHX2" s="1"/>
      <c r="BHY2" s="1"/>
      <c r="BHZ2" s="1"/>
      <c r="BIA2" s="1"/>
      <c r="BIB2" s="1"/>
      <c r="BIC2" s="1"/>
      <c r="BID2" s="1"/>
      <c r="BIE2" s="1"/>
      <c r="BIF2" s="1"/>
      <c r="BIG2" s="1"/>
      <c r="BIH2" s="1"/>
      <c r="BII2" s="1"/>
      <c r="BIJ2" s="1"/>
      <c r="BIK2" s="1"/>
      <c r="BIL2" s="1"/>
      <c r="BIM2" s="1"/>
      <c r="BIN2" s="1"/>
      <c r="BIO2" s="1"/>
      <c r="BIP2" s="1"/>
      <c r="BIQ2" s="1"/>
      <c r="BIR2" s="1"/>
      <c r="BIS2" s="1"/>
      <c r="BIT2" s="1"/>
      <c r="BIU2" s="1"/>
      <c r="BIV2" s="1"/>
      <c r="BIW2" s="1"/>
      <c r="BIX2" s="1"/>
      <c r="BIY2" s="1"/>
      <c r="BIZ2" s="1"/>
      <c r="BJA2" s="1"/>
      <c r="BJB2" s="1"/>
      <c r="BJC2" s="1"/>
      <c r="BJD2" s="1"/>
      <c r="BJE2" s="1"/>
      <c r="BJF2" s="1"/>
      <c r="BJG2" s="1"/>
      <c r="BJH2" s="1"/>
      <c r="BJI2" s="1"/>
      <c r="BJJ2" s="1"/>
      <c r="BJK2" s="1"/>
      <c r="BJL2" s="1"/>
      <c r="BJM2" s="1"/>
      <c r="BJN2" s="1"/>
      <c r="BJO2" s="1"/>
      <c r="BJP2" s="1"/>
      <c r="BJQ2" s="1"/>
      <c r="BJR2" s="1"/>
      <c r="BJS2" s="1"/>
      <c r="BJT2" s="1"/>
      <c r="BJU2" s="1"/>
      <c r="BJV2" s="1"/>
      <c r="BJW2" s="1"/>
      <c r="BJX2" s="1"/>
      <c r="BJY2" s="1"/>
      <c r="BJZ2" s="1"/>
      <c r="BKA2" s="1"/>
      <c r="BKB2" s="1"/>
      <c r="BKC2" s="1"/>
      <c r="BKD2" s="1"/>
      <c r="BKE2" s="1"/>
      <c r="BKF2" s="1"/>
      <c r="BKG2" s="1"/>
      <c r="BKH2" s="1"/>
      <c r="BKI2" s="1"/>
      <c r="BKJ2" s="1"/>
      <c r="BKK2" s="1"/>
      <c r="BKL2" s="1"/>
      <c r="BKM2" s="1"/>
      <c r="BKN2" s="1"/>
      <c r="BKO2" s="1"/>
      <c r="BKP2" s="1"/>
      <c r="BKQ2" s="1"/>
      <c r="BKR2" s="1"/>
      <c r="BKS2" s="1"/>
      <c r="BKT2" s="1"/>
      <c r="BKU2" s="1"/>
      <c r="BKV2" s="1"/>
      <c r="BKW2" s="1"/>
      <c r="BKX2" s="1"/>
      <c r="BKY2" s="1"/>
      <c r="BKZ2" s="1"/>
      <c r="BLA2" s="1"/>
      <c r="BLB2" s="1"/>
      <c r="BLC2" s="1"/>
      <c r="BLD2" s="1"/>
      <c r="BLE2" s="1"/>
      <c r="BLF2" s="1"/>
      <c r="BLG2" s="1"/>
      <c r="BLH2" s="1"/>
      <c r="BLI2" s="1"/>
      <c r="BLJ2" s="1"/>
      <c r="BLK2" s="1"/>
      <c r="BLL2" s="1"/>
      <c r="BLM2" s="1"/>
      <c r="BLN2" s="1"/>
      <c r="BLO2" s="1"/>
      <c r="BLP2" s="1"/>
      <c r="BLQ2" s="1"/>
      <c r="BLR2" s="1"/>
      <c r="BLS2" s="1"/>
      <c r="BLT2" s="1"/>
      <c r="BLU2" s="1"/>
      <c r="BLV2" s="1"/>
      <c r="BLW2" s="1"/>
      <c r="BLX2" s="1"/>
      <c r="BLY2" s="1"/>
      <c r="BLZ2" s="1"/>
      <c r="BMA2" s="1"/>
      <c r="BMB2" s="1"/>
      <c r="BMC2" s="1"/>
      <c r="BMD2" s="1"/>
      <c r="BME2" s="1"/>
      <c r="BMF2" s="1"/>
      <c r="BMG2" s="1"/>
      <c r="BMH2" s="1"/>
      <c r="BMI2" s="1"/>
      <c r="BMJ2" s="1"/>
      <c r="BMK2" s="1"/>
      <c r="BML2" s="1"/>
      <c r="BMM2" s="1"/>
      <c r="BMN2" s="1"/>
      <c r="BMO2" s="1"/>
      <c r="BMP2" s="1"/>
      <c r="BMQ2" s="1"/>
      <c r="BMR2" s="1"/>
      <c r="BMS2" s="1"/>
      <c r="BMT2" s="1"/>
      <c r="BMU2" s="1"/>
      <c r="BMV2" s="1"/>
      <c r="BMW2" s="1"/>
      <c r="BMX2" s="1"/>
      <c r="BMY2" s="1"/>
      <c r="BMZ2" s="1"/>
      <c r="BNA2" s="1"/>
      <c r="BNB2" s="1"/>
      <c r="BNC2" s="1"/>
      <c r="BND2" s="1"/>
      <c r="BNE2" s="1"/>
      <c r="BNF2" s="1"/>
      <c r="BNG2" s="1"/>
      <c r="BNH2" s="1"/>
      <c r="BNI2" s="1"/>
      <c r="BNJ2" s="1"/>
      <c r="BNK2" s="1"/>
      <c r="BNL2" s="1"/>
      <c r="BNM2" s="1"/>
      <c r="BNN2" s="1"/>
      <c r="BNO2" s="1"/>
      <c r="BNP2" s="1"/>
      <c r="BNQ2" s="1"/>
      <c r="BNR2" s="1"/>
      <c r="BNS2" s="1"/>
      <c r="BNT2" s="1"/>
      <c r="BNU2" s="1"/>
      <c r="BNV2" s="1"/>
      <c r="BNW2" s="1"/>
      <c r="BNX2" s="1"/>
      <c r="BNY2" s="1"/>
      <c r="BNZ2" s="1"/>
      <c r="BOA2" s="1"/>
      <c r="BOB2" s="1"/>
      <c r="BOC2" s="1"/>
      <c r="BOD2" s="1"/>
      <c r="BOE2" s="1"/>
      <c r="BOF2" s="1"/>
      <c r="BOG2" s="1"/>
      <c r="BOH2" s="1"/>
      <c r="BOI2" s="1"/>
      <c r="BOJ2" s="1"/>
      <c r="BOK2" s="1"/>
      <c r="BOL2" s="1"/>
      <c r="BOM2" s="1"/>
      <c r="BON2" s="1"/>
      <c r="BOO2" s="1"/>
      <c r="BOP2" s="1"/>
      <c r="BOQ2" s="1"/>
      <c r="BOR2" s="1"/>
      <c r="BOS2" s="1"/>
      <c r="BOT2" s="1"/>
      <c r="BOU2" s="1"/>
      <c r="BOV2" s="1"/>
      <c r="BOW2" s="1"/>
      <c r="BOX2" s="1"/>
      <c r="BOY2" s="1"/>
      <c r="BOZ2" s="1"/>
      <c r="BPA2" s="1"/>
      <c r="BPB2" s="1"/>
      <c r="BPC2" s="1"/>
      <c r="BPD2" s="1"/>
      <c r="BPE2" s="1"/>
      <c r="BPF2" s="1"/>
      <c r="BPG2" s="1"/>
      <c r="BPH2" s="1"/>
      <c r="BPI2" s="1"/>
      <c r="BPJ2" s="1"/>
      <c r="BPK2" s="1"/>
      <c r="BPL2" s="1"/>
      <c r="BPM2" s="1"/>
      <c r="BPN2" s="1"/>
      <c r="BPO2" s="1"/>
      <c r="BPP2" s="1"/>
      <c r="BPQ2" s="1"/>
      <c r="BPR2" s="1"/>
      <c r="BPS2" s="1"/>
      <c r="BPT2" s="1"/>
      <c r="BPU2" s="1"/>
      <c r="BPV2" s="1"/>
      <c r="BPW2" s="1"/>
      <c r="BPX2" s="1"/>
      <c r="BPY2" s="1"/>
      <c r="BPZ2" s="1"/>
      <c r="BQA2" s="1"/>
      <c r="BQB2" s="1"/>
      <c r="BQC2" s="1"/>
      <c r="BQD2" s="1"/>
      <c r="BQE2" s="1"/>
      <c r="BQF2" s="1"/>
      <c r="BQG2" s="1"/>
      <c r="BQH2" s="1"/>
      <c r="BQI2" s="1"/>
      <c r="BQJ2" s="1"/>
      <c r="BQK2" s="1"/>
      <c r="BQL2" s="1"/>
      <c r="BQM2" s="1"/>
      <c r="BQN2" s="1"/>
      <c r="BQO2" s="1"/>
      <c r="BQP2" s="1"/>
      <c r="BQQ2" s="1"/>
      <c r="BQR2" s="1"/>
      <c r="BQS2" s="1"/>
      <c r="BQT2" s="1"/>
      <c r="BQU2" s="1"/>
      <c r="BQV2" s="1"/>
      <c r="BQW2" s="1"/>
      <c r="BQX2" s="1"/>
      <c r="BQY2" s="1"/>
      <c r="BQZ2" s="1"/>
      <c r="BRA2" s="1"/>
      <c r="BRB2" s="1"/>
      <c r="BRC2" s="1"/>
      <c r="BRD2" s="1"/>
      <c r="BRE2" s="1"/>
      <c r="BRF2" s="1"/>
      <c r="BRG2" s="1"/>
      <c r="BRH2" s="1"/>
      <c r="BRI2" s="1"/>
      <c r="BRJ2" s="1"/>
      <c r="BRK2" s="1"/>
      <c r="BRL2" s="1"/>
      <c r="BRM2" s="1"/>
      <c r="BRN2" s="1"/>
      <c r="BRO2" s="1"/>
      <c r="BRP2" s="1"/>
      <c r="BRQ2" s="1"/>
      <c r="BRR2" s="1"/>
      <c r="BRS2" s="1"/>
      <c r="BRT2" s="1"/>
      <c r="BRU2" s="1"/>
      <c r="BRV2" s="1"/>
      <c r="BRW2" s="1"/>
      <c r="BRX2" s="1"/>
      <c r="BRY2" s="1"/>
      <c r="BRZ2" s="1"/>
      <c r="BSA2" s="1"/>
      <c r="BSB2" s="1"/>
      <c r="BSC2" s="1"/>
      <c r="BSD2" s="1"/>
      <c r="BSE2" s="1"/>
      <c r="BSF2" s="1"/>
      <c r="BSG2" s="1"/>
      <c r="BSH2" s="1"/>
      <c r="BSI2" s="1"/>
      <c r="BSJ2" s="1"/>
      <c r="BSK2" s="1"/>
      <c r="BSL2" s="1"/>
      <c r="BSM2" s="1"/>
      <c r="BSN2" s="1"/>
      <c r="BSO2" s="1"/>
      <c r="BSP2" s="1"/>
      <c r="BSQ2" s="1"/>
      <c r="BSR2" s="1"/>
      <c r="BSS2" s="1"/>
      <c r="BST2" s="1"/>
      <c r="BSU2" s="1"/>
      <c r="BSV2" s="1"/>
      <c r="BSW2" s="1"/>
      <c r="BSX2" s="1"/>
      <c r="BSY2" s="1"/>
      <c r="BSZ2" s="1"/>
      <c r="BTA2" s="1"/>
      <c r="BTB2" s="1"/>
      <c r="BTC2" s="1"/>
      <c r="BTD2" s="1"/>
      <c r="BTE2" s="1"/>
      <c r="BTF2" s="1"/>
      <c r="BTG2" s="1"/>
      <c r="BTH2" s="1"/>
      <c r="BTI2" s="1"/>
      <c r="BTJ2" s="1"/>
      <c r="BTK2" s="1"/>
      <c r="BTL2" s="1"/>
      <c r="BTM2" s="1"/>
      <c r="BTN2" s="1"/>
      <c r="BTO2" s="1"/>
      <c r="BTP2" s="1"/>
      <c r="BTQ2" s="1"/>
      <c r="BTR2" s="1"/>
      <c r="BTS2" s="1"/>
      <c r="BTT2" s="1"/>
      <c r="BTU2" s="1"/>
      <c r="BTV2" s="1"/>
      <c r="BTW2" s="1"/>
      <c r="BTX2" s="1"/>
      <c r="BTY2" s="1"/>
      <c r="BTZ2" s="1"/>
      <c r="BUA2" s="1"/>
      <c r="BUB2" s="1"/>
      <c r="BUC2" s="1"/>
      <c r="BUD2" s="1"/>
      <c r="BUE2" s="1"/>
      <c r="BUF2" s="1"/>
      <c r="BUG2" s="1"/>
      <c r="BUH2" s="1"/>
      <c r="BUI2" s="1"/>
      <c r="BUJ2" s="1"/>
      <c r="BUK2" s="1"/>
      <c r="BUL2" s="1"/>
      <c r="BUM2" s="1"/>
      <c r="BUN2" s="1"/>
      <c r="BUO2" s="1"/>
      <c r="BUP2" s="1"/>
      <c r="BUQ2" s="1"/>
      <c r="BUR2" s="1"/>
      <c r="BUS2" s="1"/>
      <c r="BUT2" s="1"/>
      <c r="BUU2" s="1"/>
      <c r="BUV2" s="1"/>
      <c r="BUW2" s="1"/>
      <c r="BUX2" s="1"/>
      <c r="BUY2" s="1"/>
      <c r="BUZ2" s="1"/>
      <c r="BVA2" s="1"/>
      <c r="BVB2" s="1"/>
      <c r="BVC2" s="1"/>
      <c r="BVD2" s="1"/>
      <c r="BVE2" s="1"/>
      <c r="BVF2" s="1"/>
      <c r="BVG2" s="1"/>
      <c r="BVH2" s="1"/>
      <c r="BVI2" s="1"/>
      <c r="BVJ2" s="1"/>
      <c r="BVK2" s="1"/>
      <c r="BVL2" s="1"/>
      <c r="BVM2" s="1"/>
      <c r="BVN2" s="1"/>
      <c r="BVO2" s="1"/>
      <c r="BVP2" s="1"/>
      <c r="BVQ2" s="1"/>
      <c r="BVR2" s="1"/>
      <c r="BVS2" s="1"/>
      <c r="BVT2" s="1"/>
      <c r="BVU2" s="1"/>
      <c r="BVV2" s="1"/>
      <c r="BVW2" s="1"/>
      <c r="BVX2" s="1"/>
      <c r="BVY2" s="1"/>
      <c r="BVZ2" s="1"/>
      <c r="BWA2" s="1"/>
      <c r="BWB2" s="1"/>
      <c r="BWC2" s="1"/>
      <c r="BWD2" s="1"/>
      <c r="BWE2" s="1"/>
      <c r="BWF2" s="1"/>
      <c r="BWG2" s="1"/>
      <c r="BWH2" s="1"/>
      <c r="BWI2" s="1"/>
      <c r="BWJ2" s="1"/>
      <c r="BWK2" s="1"/>
      <c r="BWL2" s="1"/>
      <c r="BWM2" s="1"/>
      <c r="BWN2" s="1"/>
      <c r="BWO2" s="1"/>
      <c r="BWP2" s="1"/>
      <c r="BWQ2" s="1"/>
      <c r="BWR2" s="1"/>
      <c r="BWS2" s="1"/>
      <c r="BWT2" s="1"/>
      <c r="BWU2" s="1"/>
      <c r="BWV2" s="1"/>
      <c r="BWW2" s="1"/>
      <c r="BWX2" s="1"/>
      <c r="BWY2" s="1"/>
      <c r="BWZ2" s="1"/>
      <c r="BXA2" s="1"/>
      <c r="BXB2" s="1"/>
      <c r="BXC2" s="1"/>
      <c r="BXD2" s="1"/>
      <c r="BXE2" s="1"/>
      <c r="BXF2" s="1"/>
      <c r="BXG2" s="1"/>
      <c r="BXH2" s="1"/>
      <c r="BXI2" s="1"/>
      <c r="BXJ2" s="1"/>
      <c r="BXK2" s="1"/>
      <c r="BXL2" s="1"/>
      <c r="BXM2" s="1"/>
      <c r="BXN2" s="1"/>
      <c r="BXO2" s="1"/>
      <c r="BXP2" s="1"/>
      <c r="BXQ2" s="1"/>
      <c r="BXR2" s="1"/>
      <c r="BXS2" s="1"/>
      <c r="BXT2" s="1"/>
      <c r="BXU2" s="1"/>
      <c r="BXV2" s="1"/>
      <c r="BXW2" s="1"/>
      <c r="BXX2" s="1"/>
      <c r="BXY2" s="1"/>
      <c r="BXZ2" s="1"/>
      <c r="BYA2" s="1"/>
      <c r="BYB2" s="1"/>
      <c r="BYC2" s="1"/>
      <c r="BYD2" s="1"/>
      <c r="BYE2" s="1"/>
      <c r="BYF2" s="1"/>
      <c r="BYG2" s="1"/>
      <c r="BYH2" s="1"/>
      <c r="BYI2" s="1"/>
      <c r="BYJ2" s="1"/>
      <c r="BYK2" s="1"/>
      <c r="BYL2" s="1"/>
      <c r="BYM2" s="1"/>
      <c r="BYN2" s="1"/>
      <c r="BYO2" s="1"/>
      <c r="BYP2" s="1"/>
      <c r="BYQ2" s="1"/>
      <c r="BYR2" s="1"/>
      <c r="BYS2" s="1"/>
      <c r="BYT2" s="1"/>
      <c r="BYU2" s="1"/>
      <c r="BYV2" s="1"/>
      <c r="BYW2" s="1"/>
      <c r="BYX2" s="1"/>
      <c r="BYY2" s="1"/>
      <c r="BYZ2" s="1"/>
      <c r="BZA2" s="1"/>
      <c r="BZB2" s="1"/>
      <c r="BZC2" s="1"/>
      <c r="BZD2" s="1"/>
      <c r="BZE2" s="1"/>
      <c r="BZF2" s="1"/>
      <c r="BZG2" s="1"/>
      <c r="BZH2" s="1"/>
      <c r="BZI2" s="1"/>
      <c r="BZJ2" s="1"/>
      <c r="BZK2" s="1"/>
      <c r="BZL2" s="1"/>
      <c r="BZM2" s="1"/>
      <c r="BZN2" s="1"/>
      <c r="BZO2" s="1"/>
      <c r="BZP2" s="1"/>
      <c r="BZQ2" s="1"/>
      <c r="BZR2" s="1"/>
      <c r="BZS2" s="1"/>
      <c r="BZT2" s="1"/>
      <c r="BZU2" s="1"/>
      <c r="BZV2" s="1"/>
      <c r="BZW2" s="1"/>
      <c r="BZX2" s="1"/>
      <c r="BZY2" s="1"/>
      <c r="BZZ2" s="1"/>
      <c r="CAA2" s="1"/>
      <c r="CAB2" s="1"/>
      <c r="CAC2" s="1"/>
      <c r="CAD2" s="1"/>
      <c r="CAE2" s="1"/>
      <c r="CAF2" s="1"/>
      <c r="CAG2" s="1"/>
      <c r="CAH2" s="1"/>
      <c r="CAI2" s="1"/>
      <c r="CAJ2" s="1"/>
      <c r="CAK2" s="1"/>
      <c r="CAL2" s="1"/>
      <c r="CAM2" s="1"/>
      <c r="CAN2" s="1"/>
      <c r="CAO2" s="1"/>
      <c r="CAP2" s="1"/>
      <c r="CAQ2" s="1"/>
      <c r="CAR2" s="1"/>
      <c r="CAS2" s="1"/>
      <c r="CAT2" s="1"/>
      <c r="CAU2" s="1"/>
      <c r="CAV2" s="1"/>
      <c r="CAW2" s="1"/>
      <c r="CAX2" s="1"/>
      <c r="CAY2" s="1"/>
      <c r="CAZ2" s="1"/>
      <c r="CBA2" s="1"/>
      <c r="CBB2" s="1"/>
      <c r="CBC2" s="1"/>
      <c r="CBD2" s="1"/>
      <c r="CBE2" s="1"/>
      <c r="CBF2" s="1"/>
      <c r="CBG2" s="1"/>
      <c r="CBH2" s="1"/>
      <c r="CBI2" s="1"/>
      <c r="CBJ2" s="1"/>
      <c r="CBK2" s="1"/>
      <c r="CBL2" s="1"/>
      <c r="CBM2" s="1"/>
      <c r="CBN2" s="1"/>
      <c r="CBO2" s="1"/>
      <c r="CBP2" s="1"/>
      <c r="CBQ2" s="1"/>
      <c r="CBR2" s="1"/>
      <c r="CBS2" s="1"/>
      <c r="CBT2" s="1"/>
      <c r="CBU2" s="1"/>
      <c r="CBV2" s="1"/>
      <c r="CBW2" s="1"/>
      <c r="CBX2" s="1"/>
      <c r="CBY2" s="1"/>
      <c r="CBZ2" s="1"/>
      <c r="CCA2" s="1"/>
      <c r="CCB2" s="1"/>
      <c r="CCC2" s="1"/>
      <c r="CCD2" s="1"/>
      <c r="CCE2" s="1"/>
      <c r="CCF2" s="1"/>
      <c r="CCG2" s="1"/>
      <c r="CCH2" s="1"/>
      <c r="CCI2" s="1"/>
      <c r="CCJ2" s="1"/>
      <c r="CCK2" s="1"/>
      <c r="CCL2" s="1"/>
      <c r="CCM2" s="1"/>
      <c r="CCN2" s="1"/>
      <c r="CCO2" s="1"/>
      <c r="CCP2" s="1"/>
      <c r="CCQ2" s="1"/>
      <c r="CCR2" s="1"/>
      <c r="CCS2" s="1"/>
      <c r="CCT2" s="1"/>
      <c r="CCU2" s="1"/>
      <c r="CCV2" s="1"/>
      <c r="CCW2" s="1"/>
      <c r="CCX2" s="1"/>
      <c r="CCY2" s="1"/>
      <c r="CCZ2" s="1"/>
      <c r="CDA2" s="1"/>
      <c r="CDB2" s="1"/>
      <c r="CDC2" s="1"/>
      <c r="CDD2" s="1"/>
      <c r="CDE2" s="1"/>
      <c r="CDF2" s="1"/>
      <c r="CDG2" s="1"/>
      <c r="CDH2" s="1"/>
      <c r="CDI2" s="1"/>
      <c r="CDJ2" s="1"/>
      <c r="CDK2" s="1"/>
      <c r="CDL2" s="1"/>
      <c r="CDM2" s="1"/>
      <c r="CDN2" s="1"/>
      <c r="CDO2" s="1"/>
      <c r="CDP2" s="1"/>
      <c r="CDQ2" s="1"/>
      <c r="CDR2" s="1"/>
      <c r="CDS2" s="1"/>
      <c r="CDT2" s="1"/>
      <c r="CDU2" s="1"/>
      <c r="CDV2" s="1"/>
      <c r="CDW2" s="1"/>
      <c r="CDX2" s="1"/>
      <c r="CDY2" s="1"/>
      <c r="CDZ2" s="1"/>
      <c r="CEA2" s="1"/>
      <c r="CEB2" s="1"/>
      <c r="CEC2" s="1"/>
      <c r="CED2" s="1"/>
      <c r="CEE2" s="1"/>
      <c r="CEF2" s="1"/>
      <c r="CEG2" s="1"/>
      <c r="CEH2" s="1"/>
      <c r="CEI2" s="1"/>
      <c r="CEJ2" s="1"/>
      <c r="CEK2" s="1"/>
      <c r="CEL2" s="1"/>
      <c r="CEM2" s="1"/>
      <c r="CEN2" s="1"/>
      <c r="CEO2" s="1"/>
      <c r="CEP2" s="1"/>
      <c r="CEQ2" s="1"/>
      <c r="CER2" s="1"/>
      <c r="CES2" s="1"/>
      <c r="CET2" s="1"/>
      <c r="CEU2" s="1"/>
      <c r="CEV2" s="1"/>
      <c r="CEW2" s="1"/>
      <c r="CEX2" s="1"/>
      <c r="CEY2" s="1"/>
      <c r="CEZ2" s="1"/>
      <c r="CFA2" s="1"/>
      <c r="CFB2" s="1"/>
      <c r="CFC2" s="1"/>
      <c r="CFD2" s="1"/>
      <c r="CFE2" s="1"/>
      <c r="CFF2" s="1"/>
      <c r="CFG2" s="1"/>
      <c r="CFH2" s="1"/>
      <c r="CFI2" s="1"/>
      <c r="CFJ2" s="1"/>
      <c r="CFK2" s="1"/>
      <c r="CFL2" s="1"/>
      <c r="CFM2" s="1"/>
      <c r="CFN2" s="1"/>
      <c r="CFO2" s="1"/>
      <c r="CFP2" s="1"/>
      <c r="CFQ2" s="1"/>
      <c r="CFR2" s="1"/>
      <c r="CFS2" s="1"/>
      <c r="CFT2" s="1"/>
      <c r="CFU2" s="1"/>
      <c r="CFV2" s="1"/>
      <c r="CFW2" s="1"/>
      <c r="CFX2" s="1"/>
      <c r="CFY2" s="1"/>
      <c r="CFZ2" s="1"/>
      <c r="CGA2" s="1"/>
      <c r="CGB2" s="1"/>
      <c r="CGC2" s="1"/>
      <c r="CGD2" s="1"/>
      <c r="CGE2" s="1"/>
      <c r="CGF2" s="1"/>
      <c r="CGG2" s="1"/>
      <c r="CGH2" s="1"/>
      <c r="CGI2" s="1"/>
      <c r="CGJ2" s="1"/>
      <c r="CGK2" s="1"/>
      <c r="CGL2" s="1"/>
      <c r="CGM2" s="1"/>
      <c r="CGN2" s="1"/>
      <c r="CGO2" s="1"/>
      <c r="CGP2" s="1"/>
      <c r="CGQ2" s="1"/>
      <c r="CGR2" s="1"/>
      <c r="CGS2" s="1"/>
      <c r="CGT2" s="1"/>
      <c r="CGU2" s="1"/>
      <c r="CGV2" s="1"/>
      <c r="CGW2" s="1"/>
      <c r="CGX2" s="1"/>
      <c r="CGY2" s="1"/>
      <c r="CGZ2" s="1"/>
      <c r="CHA2" s="1"/>
      <c r="CHB2" s="1"/>
      <c r="CHC2" s="1"/>
      <c r="CHD2" s="1"/>
      <c r="CHE2" s="1"/>
      <c r="CHF2" s="1"/>
      <c r="CHG2" s="1"/>
      <c r="CHH2" s="1"/>
      <c r="CHI2" s="1"/>
      <c r="CHJ2" s="1"/>
      <c r="CHK2" s="1"/>
      <c r="CHL2" s="1"/>
      <c r="CHM2" s="1"/>
      <c r="CHN2" s="1"/>
      <c r="CHO2" s="1"/>
      <c r="CHP2" s="1"/>
      <c r="CHQ2" s="1"/>
      <c r="CHR2" s="1"/>
      <c r="CHS2" s="1"/>
      <c r="CHT2" s="1"/>
      <c r="CHU2" s="1"/>
      <c r="CHV2" s="1"/>
      <c r="CHW2" s="1"/>
      <c r="CHX2" s="1"/>
      <c r="CHY2" s="1"/>
      <c r="CHZ2" s="1"/>
      <c r="CIA2" s="1"/>
      <c r="CIB2" s="1"/>
      <c r="CIC2" s="1"/>
      <c r="CID2" s="1"/>
      <c r="CIE2" s="1"/>
      <c r="CIF2" s="1"/>
      <c r="CIG2" s="1"/>
      <c r="CIH2" s="1"/>
      <c r="CII2" s="1"/>
      <c r="CIJ2" s="1"/>
      <c r="CIK2" s="1"/>
      <c r="CIL2" s="1"/>
      <c r="CIM2" s="1"/>
      <c r="CIN2" s="1"/>
      <c r="CIO2" s="1"/>
      <c r="CIP2" s="1"/>
      <c r="CIQ2" s="1"/>
      <c r="CIR2" s="1"/>
      <c r="CIS2" s="1"/>
      <c r="CIT2" s="1"/>
      <c r="CIU2" s="1"/>
      <c r="CIV2" s="1"/>
      <c r="CIW2" s="1"/>
      <c r="CIX2" s="1"/>
      <c r="CIY2" s="1"/>
      <c r="CIZ2" s="1"/>
      <c r="CJA2" s="1"/>
      <c r="CJB2" s="1"/>
      <c r="CJC2" s="1"/>
      <c r="CJD2" s="1"/>
      <c r="CJE2" s="1"/>
      <c r="CJF2" s="1"/>
      <c r="CJG2" s="1"/>
      <c r="CJH2" s="1"/>
      <c r="CJI2" s="1"/>
      <c r="CJJ2" s="1"/>
      <c r="CJK2" s="1"/>
      <c r="CJL2" s="1"/>
      <c r="CJM2" s="1"/>
      <c r="CJN2" s="1"/>
      <c r="CJO2" s="1"/>
      <c r="CJP2" s="1"/>
      <c r="CJQ2" s="1"/>
      <c r="CJR2" s="1"/>
      <c r="CJS2" s="1"/>
      <c r="CJT2" s="1"/>
      <c r="CJU2" s="1"/>
      <c r="CJV2" s="1"/>
      <c r="CJW2" s="1"/>
      <c r="CJX2" s="1"/>
      <c r="CJY2" s="1"/>
      <c r="CJZ2" s="1"/>
      <c r="CKA2" s="1"/>
      <c r="CKB2" s="1"/>
      <c r="CKC2" s="1"/>
      <c r="CKD2" s="1"/>
      <c r="CKE2" s="1"/>
      <c r="CKF2" s="1"/>
      <c r="CKG2" s="1"/>
      <c r="CKH2" s="1"/>
      <c r="CKI2" s="1"/>
      <c r="CKJ2" s="1"/>
      <c r="CKK2" s="1"/>
      <c r="CKL2" s="1"/>
      <c r="CKM2" s="1"/>
      <c r="CKN2" s="1"/>
      <c r="CKO2" s="1"/>
      <c r="CKP2" s="1"/>
      <c r="CKQ2" s="1"/>
      <c r="CKR2" s="1"/>
      <c r="CKS2" s="1"/>
      <c r="CKT2" s="1"/>
      <c r="CKU2" s="1"/>
      <c r="CKV2" s="1"/>
      <c r="CKW2" s="1"/>
      <c r="CKX2" s="1"/>
      <c r="CKY2" s="1"/>
      <c r="CKZ2" s="1"/>
      <c r="CLA2" s="1"/>
      <c r="CLB2" s="1"/>
      <c r="CLC2" s="1"/>
      <c r="CLD2" s="1"/>
      <c r="CLE2" s="1"/>
      <c r="CLF2" s="1"/>
      <c r="CLG2" s="1"/>
      <c r="CLH2" s="1"/>
      <c r="CLI2" s="1"/>
      <c r="CLJ2" s="1"/>
      <c r="CLK2" s="1"/>
      <c r="CLL2" s="1"/>
      <c r="CLM2" s="1"/>
      <c r="CLN2" s="1"/>
      <c r="CLO2" s="1"/>
      <c r="CLP2" s="1"/>
      <c r="CLQ2" s="1"/>
      <c r="CLR2" s="1"/>
      <c r="CLS2" s="1"/>
      <c r="CLT2" s="1"/>
      <c r="CLU2" s="1"/>
      <c r="CLV2" s="1"/>
      <c r="CLW2" s="1"/>
      <c r="CLX2" s="1"/>
      <c r="CLY2" s="1"/>
      <c r="CLZ2" s="1"/>
      <c r="CMA2" s="1"/>
      <c r="CMB2" s="1"/>
      <c r="CMC2" s="1"/>
      <c r="CMD2" s="1"/>
      <c r="CME2" s="1"/>
      <c r="CMF2" s="1"/>
      <c r="CMG2" s="1"/>
      <c r="CMH2" s="1"/>
      <c r="CMI2" s="1"/>
      <c r="CMJ2" s="1"/>
      <c r="CMK2" s="1"/>
      <c r="CML2" s="1"/>
      <c r="CMM2" s="1"/>
      <c r="CMN2" s="1"/>
      <c r="CMO2" s="1"/>
      <c r="CMP2" s="1"/>
      <c r="CMQ2" s="1"/>
      <c r="CMR2" s="1"/>
      <c r="CMS2" s="1"/>
      <c r="CMT2" s="1"/>
      <c r="CMU2" s="1"/>
      <c r="CMV2" s="1"/>
      <c r="CMW2" s="1"/>
      <c r="CMX2" s="1"/>
      <c r="CMY2" s="1"/>
      <c r="CMZ2" s="1"/>
      <c r="CNA2" s="1"/>
      <c r="CNB2" s="1"/>
      <c r="CNC2" s="1"/>
      <c r="CND2" s="1"/>
      <c r="CNE2" s="1"/>
      <c r="CNF2" s="1"/>
      <c r="CNG2" s="1"/>
      <c r="CNH2" s="1"/>
      <c r="CNI2" s="1"/>
      <c r="CNJ2" s="1"/>
      <c r="CNK2" s="1"/>
      <c r="CNL2" s="1"/>
      <c r="CNM2" s="1"/>
      <c r="CNN2" s="1"/>
      <c r="CNO2" s="1"/>
      <c r="CNP2" s="1"/>
      <c r="CNQ2" s="1"/>
      <c r="CNR2" s="1"/>
      <c r="CNS2" s="1"/>
      <c r="CNT2" s="1"/>
      <c r="CNU2" s="1"/>
      <c r="CNV2" s="1"/>
      <c r="CNW2" s="1"/>
      <c r="CNX2" s="1"/>
      <c r="CNY2" s="1"/>
      <c r="CNZ2" s="1"/>
      <c r="COA2" s="1"/>
      <c r="COB2" s="1"/>
      <c r="COC2" s="1"/>
      <c r="COD2" s="1"/>
      <c r="COE2" s="1"/>
      <c r="COF2" s="1"/>
      <c r="COG2" s="1"/>
      <c r="COH2" s="1"/>
      <c r="COI2" s="1"/>
      <c r="COJ2" s="1"/>
      <c r="COK2" s="1"/>
      <c r="COL2" s="1"/>
      <c r="COM2" s="1"/>
      <c r="CON2" s="1"/>
      <c r="COO2" s="1"/>
      <c r="COP2" s="1"/>
      <c r="COQ2" s="1"/>
      <c r="COR2" s="1"/>
      <c r="COS2" s="1"/>
      <c r="COT2" s="1"/>
      <c r="COU2" s="1"/>
      <c r="COV2" s="1"/>
      <c r="COW2" s="1"/>
      <c r="COX2" s="1"/>
      <c r="COY2" s="1"/>
      <c r="COZ2" s="1"/>
      <c r="CPA2" s="1"/>
      <c r="CPB2" s="1"/>
      <c r="CPC2" s="1"/>
      <c r="CPD2" s="1"/>
      <c r="CPE2" s="1"/>
      <c r="CPF2" s="1"/>
      <c r="CPG2" s="1"/>
      <c r="CPH2" s="1"/>
      <c r="CPI2" s="1"/>
      <c r="CPJ2" s="1"/>
      <c r="CPK2" s="1"/>
      <c r="CPL2" s="1"/>
      <c r="CPM2" s="1"/>
      <c r="CPN2" s="1"/>
      <c r="CPO2" s="1"/>
      <c r="CPP2" s="1"/>
      <c r="CPQ2" s="1"/>
      <c r="CPR2" s="1"/>
      <c r="CPS2" s="1"/>
      <c r="CPT2" s="1"/>
      <c r="CPU2" s="1"/>
      <c r="CPV2" s="1"/>
      <c r="CPW2" s="1"/>
      <c r="CPX2" s="1"/>
      <c r="CPY2" s="1"/>
      <c r="CPZ2" s="1"/>
      <c r="CQA2" s="1"/>
      <c r="CQB2" s="1"/>
      <c r="CQC2" s="1"/>
      <c r="CQD2" s="1"/>
      <c r="CQE2" s="1"/>
      <c r="CQF2" s="1"/>
      <c r="CQG2" s="1"/>
      <c r="CQH2" s="1"/>
      <c r="CQI2" s="1"/>
      <c r="CQJ2" s="1"/>
      <c r="CQK2" s="1"/>
      <c r="CQL2" s="1"/>
      <c r="CQM2" s="1"/>
      <c r="CQN2" s="1"/>
      <c r="CQO2" s="1"/>
      <c r="CQP2" s="1"/>
      <c r="CQQ2" s="1"/>
      <c r="CQR2" s="1"/>
      <c r="CQS2" s="1"/>
      <c r="CQT2" s="1"/>
      <c r="CQU2" s="1"/>
      <c r="CQV2" s="1"/>
      <c r="CQW2" s="1"/>
      <c r="CQX2" s="1"/>
      <c r="CQY2" s="1"/>
      <c r="CQZ2" s="1"/>
      <c r="CRA2" s="1"/>
      <c r="CRB2" s="1"/>
      <c r="CRC2" s="1"/>
      <c r="CRD2" s="1"/>
      <c r="CRE2" s="1"/>
      <c r="CRF2" s="1"/>
      <c r="CRG2" s="1"/>
      <c r="CRH2" s="1"/>
      <c r="CRI2" s="1"/>
      <c r="CRJ2" s="1"/>
      <c r="CRK2" s="1"/>
      <c r="CRL2" s="1"/>
      <c r="CRM2" s="1"/>
      <c r="CRN2" s="1"/>
      <c r="CRO2" s="1"/>
      <c r="CRP2" s="1"/>
      <c r="CRQ2" s="1"/>
      <c r="CRR2" s="1"/>
      <c r="CRS2" s="1"/>
      <c r="CRT2" s="1"/>
      <c r="CRU2" s="1"/>
      <c r="CRV2" s="1"/>
      <c r="CRW2" s="1"/>
      <c r="CRX2" s="1"/>
      <c r="CRY2" s="1"/>
      <c r="CRZ2" s="1"/>
      <c r="CSA2" s="1"/>
      <c r="CSB2" s="1"/>
      <c r="CSC2" s="1"/>
      <c r="CSD2" s="1"/>
      <c r="CSE2" s="1"/>
      <c r="CSF2" s="1"/>
      <c r="CSG2" s="1"/>
      <c r="CSH2" s="1"/>
      <c r="CSI2" s="1"/>
      <c r="CSJ2" s="1"/>
      <c r="CSK2" s="1"/>
      <c r="CSL2" s="1"/>
      <c r="CSM2" s="1"/>
      <c r="CSN2" s="1"/>
      <c r="CSO2" s="1"/>
      <c r="CSP2" s="1"/>
      <c r="CSQ2" s="1"/>
      <c r="CSR2" s="1"/>
      <c r="CSS2" s="1"/>
      <c r="CST2" s="1"/>
      <c r="CSU2" s="1"/>
      <c r="CSV2" s="1"/>
      <c r="CSW2" s="1"/>
      <c r="CSX2" s="1"/>
      <c r="CSY2" s="1"/>
      <c r="CSZ2" s="1"/>
      <c r="CTA2" s="1"/>
      <c r="CTB2" s="1"/>
      <c r="CTC2" s="1"/>
      <c r="CTD2" s="1"/>
      <c r="CTE2" s="1"/>
      <c r="CTF2" s="1"/>
      <c r="CTG2" s="1"/>
      <c r="CTH2" s="1"/>
      <c r="CTI2" s="1"/>
      <c r="CTJ2" s="1"/>
      <c r="CTK2" s="1"/>
      <c r="CTL2" s="1"/>
      <c r="CTM2" s="1"/>
      <c r="CTN2" s="1"/>
      <c r="CTO2" s="1"/>
      <c r="CTP2" s="1"/>
      <c r="CTQ2" s="1"/>
      <c r="CTR2" s="1"/>
      <c r="CTS2" s="1"/>
      <c r="CTT2" s="1"/>
      <c r="CTU2" s="1"/>
      <c r="CTV2" s="1"/>
      <c r="CTW2" s="1"/>
      <c r="CTX2" s="1"/>
      <c r="CTY2" s="1"/>
      <c r="CTZ2" s="1"/>
      <c r="CUA2" s="1"/>
      <c r="CUB2" s="1"/>
      <c r="CUC2" s="1"/>
      <c r="CUD2" s="1"/>
      <c r="CUE2" s="1"/>
      <c r="CUF2" s="1"/>
      <c r="CUG2" s="1"/>
      <c r="CUH2" s="1"/>
      <c r="CUI2" s="1"/>
      <c r="CUJ2" s="1"/>
      <c r="CUK2" s="1"/>
      <c r="CUL2" s="1"/>
      <c r="CUM2" s="1"/>
      <c r="CUN2" s="1"/>
      <c r="CUO2" s="1"/>
      <c r="CUP2" s="1"/>
      <c r="CUQ2" s="1"/>
      <c r="CUR2" s="1"/>
      <c r="CUS2" s="1"/>
      <c r="CUT2" s="1"/>
      <c r="CUU2" s="1"/>
      <c r="CUV2" s="1"/>
      <c r="CUW2" s="1"/>
      <c r="CUX2" s="1"/>
      <c r="CUY2" s="1"/>
      <c r="CUZ2" s="1"/>
      <c r="CVA2" s="1"/>
      <c r="CVB2" s="1"/>
      <c r="CVC2" s="1"/>
      <c r="CVD2" s="1"/>
      <c r="CVE2" s="1"/>
      <c r="CVF2" s="1"/>
      <c r="CVG2" s="1"/>
      <c r="CVH2" s="1"/>
      <c r="CVI2" s="1"/>
      <c r="CVJ2" s="1"/>
      <c r="CVK2" s="1"/>
      <c r="CVL2" s="1"/>
      <c r="CVM2" s="1"/>
      <c r="CVN2" s="1"/>
      <c r="CVO2" s="1"/>
      <c r="CVP2" s="1"/>
      <c r="CVQ2" s="1"/>
      <c r="CVR2" s="1"/>
      <c r="CVS2" s="1"/>
      <c r="CVT2" s="1"/>
      <c r="CVU2" s="1"/>
      <c r="CVV2" s="1"/>
      <c r="CVW2" s="1"/>
      <c r="CVX2" s="1"/>
      <c r="CVY2" s="1"/>
      <c r="CVZ2" s="1"/>
      <c r="CWA2" s="1"/>
      <c r="CWB2" s="1"/>
      <c r="CWC2" s="1"/>
    </row>
    <row r="3" spans="2:2629" x14ac:dyDescent="0.35">
      <c r="B3" s="58" t="s">
        <v>269</v>
      </c>
    </row>
    <row r="4" spans="2:2629" s="61" customFormat="1" ht="12" x14ac:dyDescent="0.3"/>
    <row r="5" spans="2:2629" s="61" customFormat="1" ht="12" x14ac:dyDescent="0.3">
      <c r="B5" s="6" t="s">
        <v>270</v>
      </c>
      <c r="C5" s="6"/>
      <c r="D5" s="6"/>
      <c r="E5" s="6"/>
      <c r="F5" s="6"/>
      <c r="G5" s="6"/>
      <c r="H5" s="6"/>
      <c r="I5" s="6"/>
      <c r="J5" s="6"/>
      <c r="L5" s="6" t="s">
        <v>271</v>
      </c>
      <c r="M5" s="6"/>
      <c r="N5" s="6"/>
      <c r="O5" s="6"/>
      <c r="P5" s="6"/>
      <c r="Q5" s="6"/>
      <c r="R5" s="6"/>
      <c r="S5" s="6"/>
      <c r="T5" s="6"/>
      <c r="U5" s="6"/>
      <c r="V5" s="6"/>
      <c r="W5" s="6"/>
      <c r="X5" s="6"/>
      <c r="Y5" s="6"/>
      <c r="Z5" s="6"/>
      <c r="AA5" s="6"/>
      <c r="AB5" s="6"/>
      <c r="AC5" s="6"/>
      <c r="AD5" s="6"/>
      <c r="AE5" s="6"/>
      <c r="AF5" s="6"/>
      <c r="AG5" s="6"/>
      <c r="AH5" s="6"/>
      <c r="AI5" s="6"/>
      <c r="AJ5" s="6"/>
      <c r="AK5" s="6"/>
      <c r="AL5" s="6"/>
      <c r="AM5" s="6"/>
      <c r="AN5" s="6"/>
      <c r="AO5" s="6"/>
      <c r="AP5" s="6"/>
      <c r="AQ5" s="6"/>
      <c r="AR5" s="6"/>
      <c r="AS5" s="6"/>
      <c r="AT5" s="6"/>
      <c r="AU5" s="6"/>
      <c r="AV5" s="6"/>
      <c r="AW5" s="6"/>
      <c r="AX5" s="6"/>
      <c r="AY5" s="6"/>
      <c r="AZ5" s="6"/>
      <c r="BA5" s="6"/>
      <c r="BB5" s="6"/>
      <c r="BC5" s="6"/>
      <c r="BD5" s="6"/>
      <c r="BE5" s="6"/>
      <c r="BF5" s="6"/>
      <c r="BG5" s="6"/>
      <c r="BH5" s="6"/>
      <c r="BI5" s="6"/>
      <c r="BJ5" s="6"/>
      <c r="BK5" s="6"/>
      <c r="BL5" s="6"/>
      <c r="BM5" s="6"/>
      <c r="BN5" s="6"/>
      <c r="BO5" s="6"/>
      <c r="BP5" s="6"/>
      <c r="BQ5" s="6"/>
      <c r="BR5" s="6"/>
      <c r="BS5" s="6"/>
      <c r="BT5" s="6"/>
      <c r="BU5" s="6"/>
      <c r="BV5" s="6"/>
      <c r="BW5" s="6"/>
      <c r="BX5" s="6"/>
      <c r="BY5" s="6"/>
      <c r="BZ5" s="6"/>
      <c r="CA5" s="6"/>
      <c r="CB5" s="6"/>
      <c r="CC5" s="6"/>
      <c r="CD5" s="6"/>
      <c r="CE5" s="6"/>
      <c r="CF5" s="6"/>
      <c r="CG5" s="6"/>
      <c r="CH5" s="6"/>
      <c r="CI5" s="6"/>
      <c r="CJ5" s="6"/>
      <c r="CK5" s="6"/>
      <c r="CL5" s="6"/>
      <c r="CM5" s="6"/>
      <c r="CN5" s="6"/>
      <c r="CO5" s="6"/>
      <c r="CP5" s="6"/>
      <c r="CQ5" s="6"/>
      <c r="CR5" s="6"/>
      <c r="CS5" s="6"/>
      <c r="CT5" s="6"/>
      <c r="CU5" s="6"/>
      <c r="CV5" s="6"/>
      <c r="CW5" s="6"/>
      <c r="CX5" s="6"/>
      <c r="CY5" s="6"/>
      <c r="CZ5" s="6"/>
      <c r="DA5" s="6"/>
      <c r="DB5" s="6"/>
      <c r="DC5" s="6"/>
      <c r="DD5" s="6"/>
      <c r="DE5" s="6"/>
      <c r="DF5" s="6"/>
      <c r="DG5" s="6"/>
      <c r="DH5" s="6"/>
      <c r="DI5" s="6"/>
      <c r="DK5" s="6" t="s">
        <v>272</v>
      </c>
      <c r="DL5" s="6"/>
      <c r="DM5" s="6"/>
      <c r="DN5" s="6"/>
      <c r="DO5" s="6"/>
      <c r="DP5" s="6"/>
      <c r="DQ5" s="6"/>
      <c r="DR5" s="6"/>
      <c r="DS5" s="6"/>
      <c r="DT5" s="6"/>
      <c r="DU5" s="6"/>
      <c r="DV5" s="6"/>
      <c r="DW5" s="6"/>
      <c r="DX5" s="6"/>
      <c r="DY5" s="6"/>
      <c r="DZ5" s="6"/>
      <c r="EA5" s="6"/>
      <c r="EB5" s="6"/>
      <c r="EC5" s="6"/>
      <c r="ED5" s="6"/>
      <c r="EE5" s="6"/>
      <c r="EF5" s="6"/>
      <c r="EG5" s="6"/>
      <c r="EH5" s="6"/>
      <c r="EI5" s="6"/>
      <c r="EJ5" s="6"/>
      <c r="EK5" s="6"/>
      <c r="EL5" s="6"/>
      <c r="EM5" s="6"/>
      <c r="EN5" s="6"/>
      <c r="EO5" s="6"/>
      <c r="EP5" s="6"/>
      <c r="EQ5" s="6"/>
      <c r="ER5" s="6"/>
      <c r="ES5" s="6"/>
      <c r="ET5" s="6"/>
      <c r="EU5" s="6"/>
      <c r="EV5" s="6"/>
      <c r="EW5" s="6"/>
      <c r="EX5" s="6"/>
      <c r="EY5" s="6"/>
      <c r="EZ5" s="6"/>
      <c r="FA5" s="6"/>
      <c r="FB5" s="6"/>
      <c r="FC5" s="6"/>
      <c r="FD5" s="6"/>
      <c r="FE5" s="6"/>
      <c r="FF5" s="6"/>
      <c r="FG5" s="6"/>
      <c r="FH5" s="6"/>
      <c r="FI5" s="6"/>
      <c r="FJ5" s="6"/>
      <c r="FK5" s="6"/>
      <c r="FL5" s="6"/>
      <c r="FM5" s="6"/>
      <c r="FN5" s="6"/>
      <c r="FO5" s="6"/>
      <c r="FP5" s="6"/>
      <c r="FQ5" s="6"/>
      <c r="FR5" s="6"/>
      <c r="FS5" s="6"/>
      <c r="FT5" s="6"/>
      <c r="FU5" s="6"/>
      <c r="FV5" s="6"/>
      <c r="FW5" s="6"/>
      <c r="FX5" s="6"/>
      <c r="FY5" s="6"/>
      <c r="FZ5" s="6"/>
      <c r="GA5" s="6"/>
      <c r="GB5" s="6"/>
      <c r="GC5" s="6"/>
      <c r="GD5" s="6"/>
      <c r="GE5" s="6"/>
      <c r="GF5" s="6"/>
      <c r="GG5" s="6"/>
      <c r="GH5" s="6"/>
      <c r="GI5" s="6"/>
      <c r="GJ5" s="6"/>
      <c r="GK5" s="6"/>
      <c r="GL5" s="6"/>
      <c r="GM5" s="6"/>
      <c r="GN5" s="6"/>
      <c r="GO5" s="6"/>
      <c r="GP5" s="6"/>
      <c r="GQ5" s="6"/>
      <c r="GR5" s="6"/>
      <c r="GS5" s="6"/>
      <c r="GT5" s="6"/>
      <c r="GU5" s="6"/>
      <c r="GV5" s="6"/>
      <c r="GW5" s="6"/>
      <c r="GX5" s="6"/>
      <c r="GY5" s="6"/>
      <c r="GZ5" s="6"/>
      <c r="HA5" s="6"/>
      <c r="HB5" s="6"/>
      <c r="HC5" s="6"/>
      <c r="HD5" s="6"/>
      <c r="HE5" s="6"/>
      <c r="HF5" s="6"/>
      <c r="HG5" s="6"/>
      <c r="HH5" s="6"/>
    </row>
    <row r="6" spans="2:2629" s="61" customFormat="1" ht="12" x14ac:dyDescent="0.3"/>
    <row r="7" spans="2:2629" s="61" customFormat="1" ht="12" x14ac:dyDescent="0.3">
      <c r="B7" s="61" t="s">
        <v>273</v>
      </c>
      <c r="L7" s="61" t="s">
        <v>274</v>
      </c>
      <c r="DK7" s="61" t="s">
        <v>274</v>
      </c>
    </row>
    <row r="8" spans="2:2629" s="61" customFormat="1" ht="12" x14ac:dyDescent="0.3">
      <c r="B8" s="110" t="s">
        <v>275</v>
      </c>
      <c r="C8" s="111" t="s">
        <v>276</v>
      </c>
      <c r="D8" s="111" t="s">
        <v>277</v>
      </c>
      <c r="E8" s="111" t="s">
        <v>278</v>
      </c>
      <c r="F8" s="111" t="s">
        <v>279</v>
      </c>
      <c r="G8" s="110" t="s">
        <v>280</v>
      </c>
      <c r="H8" s="111" t="s">
        <v>281</v>
      </c>
      <c r="I8" s="111" t="s">
        <v>282</v>
      </c>
      <c r="J8" s="111" t="s">
        <v>98</v>
      </c>
      <c r="L8" s="110" t="s">
        <v>275</v>
      </c>
      <c r="M8" s="115">
        <v>0</v>
      </c>
      <c r="N8" s="115">
        <v>1</v>
      </c>
      <c r="O8" s="115">
        <v>2</v>
      </c>
      <c r="P8" s="115">
        <v>3</v>
      </c>
      <c r="Q8" s="115">
        <v>4</v>
      </c>
      <c r="R8" s="115">
        <v>5</v>
      </c>
      <c r="S8" s="115">
        <v>6</v>
      </c>
      <c r="T8" s="115">
        <v>7</v>
      </c>
      <c r="U8" s="115">
        <v>8</v>
      </c>
      <c r="V8" s="115">
        <v>9</v>
      </c>
      <c r="W8" s="115">
        <v>10</v>
      </c>
      <c r="X8" s="115">
        <v>11</v>
      </c>
      <c r="Y8" s="115">
        <v>12</v>
      </c>
      <c r="Z8" s="115">
        <v>13</v>
      </c>
      <c r="AA8" s="115">
        <v>14</v>
      </c>
      <c r="AB8" s="115">
        <v>15</v>
      </c>
      <c r="AC8" s="115">
        <v>16</v>
      </c>
      <c r="AD8" s="115">
        <v>17</v>
      </c>
      <c r="AE8" s="115">
        <v>18</v>
      </c>
      <c r="AF8" s="115">
        <v>19</v>
      </c>
      <c r="AG8" s="115">
        <v>20</v>
      </c>
      <c r="AH8" s="115">
        <v>21</v>
      </c>
      <c r="AI8" s="115">
        <v>22</v>
      </c>
      <c r="AJ8" s="115">
        <v>23</v>
      </c>
      <c r="AK8" s="115">
        <v>24</v>
      </c>
      <c r="AL8" s="115">
        <v>25</v>
      </c>
      <c r="AM8" s="115">
        <v>26</v>
      </c>
      <c r="AN8" s="115">
        <v>27</v>
      </c>
      <c r="AO8" s="115">
        <v>28</v>
      </c>
      <c r="AP8" s="115">
        <v>29</v>
      </c>
      <c r="AQ8" s="115">
        <v>30</v>
      </c>
      <c r="AR8" s="115">
        <v>31</v>
      </c>
      <c r="AS8" s="115">
        <v>32</v>
      </c>
      <c r="AT8" s="115">
        <v>33</v>
      </c>
      <c r="AU8" s="115">
        <v>34</v>
      </c>
      <c r="AV8" s="115">
        <v>35</v>
      </c>
      <c r="AW8" s="115">
        <v>36</v>
      </c>
      <c r="AX8" s="115">
        <v>37</v>
      </c>
      <c r="AY8" s="115">
        <v>38</v>
      </c>
      <c r="AZ8" s="115">
        <v>39</v>
      </c>
      <c r="BA8" s="115">
        <v>40</v>
      </c>
      <c r="BB8" s="115">
        <v>41</v>
      </c>
      <c r="BC8" s="115">
        <v>42</v>
      </c>
      <c r="BD8" s="115">
        <v>43</v>
      </c>
      <c r="BE8" s="115">
        <v>44</v>
      </c>
      <c r="BF8" s="115">
        <v>45</v>
      </c>
      <c r="BG8" s="115">
        <v>46</v>
      </c>
      <c r="BH8" s="115">
        <v>47</v>
      </c>
      <c r="BI8" s="115">
        <v>48</v>
      </c>
      <c r="BJ8" s="115">
        <v>49</v>
      </c>
      <c r="BK8" s="115">
        <v>50</v>
      </c>
      <c r="BL8" s="115">
        <v>51</v>
      </c>
      <c r="BM8" s="115">
        <v>52</v>
      </c>
      <c r="BN8" s="115">
        <v>53</v>
      </c>
      <c r="BO8" s="115">
        <v>54</v>
      </c>
      <c r="BP8" s="115">
        <v>55</v>
      </c>
      <c r="BQ8" s="115">
        <v>56</v>
      </c>
      <c r="BR8" s="115">
        <v>57</v>
      </c>
      <c r="BS8" s="115">
        <v>58</v>
      </c>
      <c r="BT8" s="115">
        <v>59</v>
      </c>
      <c r="BU8" s="115">
        <v>60</v>
      </c>
      <c r="BV8" s="115">
        <v>61</v>
      </c>
      <c r="BW8" s="115">
        <v>62</v>
      </c>
      <c r="BX8" s="115">
        <v>63</v>
      </c>
      <c r="BY8" s="115">
        <v>64</v>
      </c>
      <c r="BZ8" s="115">
        <v>65</v>
      </c>
      <c r="CA8" s="115">
        <v>66</v>
      </c>
      <c r="CB8" s="115">
        <v>67</v>
      </c>
      <c r="CC8" s="115">
        <v>68</v>
      </c>
      <c r="CD8" s="115">
        <v>69</v>
      </c>
      <c r="CE8" s="115">
        <v>70</v>
      </c>
      <c r="CF8" s="115">
        <v>71</v>
      </c>
      <c r="CG8" s="115">
        <v>72</v>
      </c>
      <c r="CH8" s="115">
        <v>73</v>
      </c>
      <c r="CI8" s="115">
        <v>74</v>
      </c>
      <c r="CJ8" s="115">
        <v>75</v>
      </c>
      <c r="CK8" s="115">
        <v>76</v>
      </c>
      <c r="CL8" s="115">
        <v>77</v>
      </c>
      <c r="CM8" s="115">
        <v>78</v>
      </c>
      <c r="CN8" s="115">
        <v>79</v>
      </c>
      <c r="CO8" s="115">
        <v>80</v>
      </c>
      <c r="CP8" s="115">
        <v>81</v>
      </c>
      <c r="CQ8" s="115">
        <v>82</v>
      </c>
      <c r="CR8" s="115">
        <v>83</v>
      </c>
      <c r="CS8" s="115">
        <v>84</v>
      </c>
      <c r="CT8" s="115">
        <v>85</v>
      </c>
      <c r="CU8" s="115">
        <v>86</v>
      </c>
      <c r="CV8" s="115">
        <v>87</v>
      </c>
      <c r="CW8" s="115">
        <v>88</v>
      </c>
      <c r="CX8" s="115">
        <v>89</v>
      </c>
      <c r="CY8" s="115">
        <v>90</v>
      </c>
      <c r="CZ8" s="115">
        <v>91</v>
      </c>
      <c r="DA8" s="115">
        <v>92</v>
      </c>
      <c r="DB8" s="115">
        <v>93</v>
      </c>
      <c r="DC8" s="115">
        <v>94</v>
      </c>
      <c r="DD8" s="115">
        <v>95</v>
      </c>
      <c r="DE8" s="115">
        <v>96</v>
      </c>
      <c r="DF8" s="115">
        <v>97</v>
      </c>
      <c r="DG8" s="115">
        <v>98</v>
      </c>
      <c r="DH8" s="115">
        <v>99</v>
      </c>
      <c r="DI8" s="115">
        <v>100</v>
      </c>
      <c r="DK8" s="110" t="s">
        <v>275</v>
      </c>
      <c r="DL8" s="115">
        <v>0</v>
      </c>
      <c r="DM8" s="115">
        <v>1</v>
      </c>
      <c r="DN8" s="115">
        <v>2</v>
      </c>
      <c r="DO8" s="115">
        <v>3</v>
      </c>
      <c r="DP8" s="115">
        <v>4</v>
      </c>
      <c r="DQ8" s="115">
        <v>5</v>
      </c>
      <c r="DR8" s="115">
        <v>6</v>
      </c>
      <c r="DS8" s="115">
        <v>7</v>
      </c>
      <c r="DT8" s="115">
        <v>8</v>
      </c>
      <c r="DU8" s="115">
        <v>9</v>
      </c>
      <c r="DV8" s="115">
        <v>10</v>
      </c>
      <c r="DW8" s="115">
        <v>11</v>
      </c>
      <c r="DX8" s="115">
        <v>12</v>
      </c>
      <c r="DY8" s="115">
        <v>13</v>
      </c>
      <c r="DZ8" s="115">
        <v>14</v>
      </c>
      <c r="EA8" s="115">
        <v>15</v>
      </c>
      <c r="EB8" s="115">
        <v>16</v>
      </c>
      <c r="EC8" s="115">
        <v>17</v>
      </c>
      <c r="ED8" s="115">
        <v>18</v>
      </c>
      <c r="EE8" s="115">
        <v>19</v>
      </c>
      <c r="EF8" s="115">
        <v>20</v>
      </c>
      <c r="EG8" s="115">
        <v>21</v>
      </c>
      <c r="EH8" s="115">
        <v>22</v>
      </c>
      <c r="EI8" s="115">
        <v>23</v>
      </c>
      <c r="EJ8" s="115">
        <v>24</v>
      </c>
      <c r="EK8" s="115">
        <v>25</v>
      </c>
      <c r="EL8" s="115">
        <v>26</v>
      </c>
      <c r="EM8" s="115">
        <v>27</v>
      </c>
      <c r="EN8" s="115">
        <v>28</v>
      </c>
      <c r="EO8" s="115">
        <v>29</v>
      </c>
      <c r="EP8" s="115">
        <v>30</v>
      </c>
      <c r="EQ8" s="115">
        <v>31</v>
      </c>
      <c r="ER8" s="115">
        <v>32</v>
      </c>
      <c r="ES8" s="115">
        <v>33</v>
      </c>
      <c r="ET8" s="115">
        <v>34</v>
      </c>
      <c r="EU8" s="115">
        <v>35</v>
      </c>
      <c r="EV8" s="115">
        <v>36</v>
      </c>
      <c r="EW8" s="115">
        <v>37</v>
      </c>
      <c r="EX8" s="115">
        <v>38</v>
      </c>
      <c r="EY8" s="115">
        <v>39</v>
      </c>
      <c r="EZ8" s="115">
        <v>40</v>
      </c>
      <c r="FA8" s="115">
        <v>41</v>
      </c>
      <c r="FB8" s="115">
        <v>42</v>
      </c>
      <c r="FC8" s="115">
        <v>43</v>
      </c>
      <c r="FD8" s="115">
        <v>44</v>
      </c>
      <c r="FE8" s="115">
        <v>45</v>
      </c>
      <c r="FF8" s="115">
        <v>46</v>
      </c>
      <c r="FG8" s="115">
        <v>47</v>
      </c>
      <c r="FH8" s="115">
        <v>48</v>
      </c>
      <c r="FI8" s="115">
        <v>49</v>
      </c>
      <c r="FJ8" s="115">
        <v>50</v>
      </c>
      <c r="FK8" s="115">
        <v>51</v>
      </c>
      <c r="FL8" s="115">
        <v>52</v>
      </c>
      <c r="FM8" s="115">
        <v>53</v>
      </c>
      <c r="FN8" s="115">
        <v>54</v>
      </c>
      <c r="FO8" s="115">
        <v>55</v>
      </c>
      <c r="FP8" s="115">
        <v>56</v>
      </c>
      <c r="FQ8" s="115">
        <v>57</v>
      </c>
      <c r="FR8" s="115">
        <v>58</v>
      </c>
      <c r="FS8" s="115">
        <v>59</v>
      </c>
      <c r="FT8" s="115">
        <v>60</v>
      </c>
      <c r="FU8" s="115">
        <v>61</v>
      </c>
      <c r="FV8" s="115">
        <v>62</v>
      </c>
      <c r="FW8" s="115">
        <v>63</v>
      </c>
      <c r="FX8" s="115">
        <v>64</v>
      </c>
      <c r="FY8" s="115">
        <v>65</v>
      </c>
      <c r="FZ8" s="115">
        <v>66</v>
      </c>
      <c r="GA8" s="115">
        <v>67</v>
      </c>
      <c r="GB8" s="115">
        <v>68</v>
      </c>
      <c r="GC8" s="115">
        <v>69</v>
      </c>
      <c r="GD8" s="115">
        <v>70</v>
      </c>
      <c r="GE8" s="115">
        <v>71</v>
      </c>
      <c r="GF8" s="115">
        <v>72</v>
      </c>
      <c r="GG8" s="115">
        <v>73</v>
      </c>
      <c r="GH8" s="115">
        <v>74</v>
      </c>
      <c r="GI8" s="115">
        <v>75</v>
      </c>
      <c r="GJ8" s="115">
        <v>76</v>
      </c>
      <c r="GK8" s="115">
        <v>77</v>
      </c>
      <c r="GL8" s="115">
        <v>78</v>
      </c>
      <c r="GM8" s="115">
        <v>79</v>
      </c>
      <c r="GN8" s="115">
        <v>80</v>
      </c>
      <c r="GO8" s="115">
        <v>81</v>
      </c>
      <c r="GP8" s="115">
        <v>82</v>
      </c>
      <c r="GQ8" s="115">
        <v>83</v>
      </c>
      <c r="GR8" s="115">
        <v>84</v>
      </c>
      <c r="GS8" s="115">
        <v>85</v>
      </c>
      <c r="GT8" s="115">
        <v>86</v>
      </c>
      <c r="GU8" s="115">
        <v>87</v>
      </c>
      <c r="GV8" s="115">
        <v>88</v>
      </c>
      <c r="GW8" s="115">
        <v>89</v>
      </c>
      <c r="GX8" s="115">
        <v>90</v>
      </c>
      <c r="GY8" s="115">
        <v>91</v>
      </c>
      <c r="GZ8" s="115">
        <v>92</v>
      </c>
      <c r="HA8" s="115">
        <v>93</v>
      </c>
      <c r="HB8" s="115">
        <v>94</v>
      </c>
      <c r="HC8" s="115">
        <v>95</v>
      </c>
      <c r="HD8" s="115">
        <v>96</v>
      </c>
      <c r="HE8" s="115">
        <v>97</v>
      </c>
      <c r="HF8" s="115">
        <v>98</v>
      </c>
      <c r="HG8" s="115">
        <v>99</v>
      </c>
      <c r="HH8" s="115">
        <v>100</v>
      </c>
    </row>
    <row r="9" spans="2:2629" s="61" customFormat="1" ht="12" x14ac:dyDescent="0.3">
      <c r="B9" s="112" t="s">
        <v>276</v>
      </c>
      <c r="C9" s="113">
        <v>1</v>
      </c>
      <c r="D9" s="113">
        <v>0</v>
      </c>
      <c r="E9" s="113">
        <v>0</v>
      </c>
      <c r="F9" s="113">
        <v>0</v>
      </c>
      <c r="G9" s="113">
        <v>0</v>
      </c>
      <c r="H9" s="113">
        <v>0</v>
      </c>
      <c r="I9" s="113">
        <v>0</v>
      </c>
      <c r="J9" s="113">
        <v>0</v>
      </c>
      <c r="L9" s="112" t="s">
        <v>276</v>
      </c>
      <c r="M9" s="113">
        <v>0</v>
      </c>
      <c r="N9" s="113">
        <v>0</v>
      </c>
      <c r="O9" s="113">
        <v>0</v>
      </c>
      <c r="P9" s="113">
        <v>0</v>
      </c>
      <c r="Q9" s="113">
        <v>0</v>
      </c>
      <c r="R9" s="113">
        <v>0</v>
      </c>
      <c r="S9" s="113">
        <v>0</v>
      </c>
      <c r="T9" s="113">
        <v>0</v>
      </c>
      <c r="U9" s="113">
        <v>0</v>
      </c>
      <c r="V9" s="113">
        <v>0</v>
      </c>
      <c r="W9" s="113">
        <v>0</v>
      </c>
      <c r="X9" s="113">
        <v>0</v>
      </c>
      <c r="Y9" s="113">
        <v>0</v>
      </c>
      <c r="Z9" s="113">
        <v>0</v>
      </c>
      <c r="AA9" s="113">
        <v>0</v>
      </c>
      <c r="AB9" s="113">
        <v>0</v>
      </c>
      <c r="AC9" s="113">
        <v>0</v>
      </c>
      <c r="AD9" s="113">
        <v>0</v>
      </c>
      <c r="AE9" s="113">
        <v>0</v>
      </c>
      <c r="AF9" s="113">
        <v>0</v>
      </c>
      <c r="AG9" s="113">
        <v>0</v>
      </c>
      <c r="AH9" s="113">
        <v>0</v>
      </c>
      <c r="AI9" s="113">
        <v>0</v>
      </c>
      <c r="AJ9" s="113">
        <v>0</v>
      </c>
      <c r="AK9" s="113">
        <v>0</v>
      </c>
      <c r="AL9" s="113">
        <v>0</v>
      </c>
      <c r="AM9" s="113">
        <v>0</v>
      </c>
      <c r="AN9" s="113">
        <v>0</v>
      </c>
      <c r="AO9" s="113">
        <v>0</v>
      </c>
      <c r="AP9" s="113">
        <v>0</v>
      </c>
      <c r="AQ9" s="113">
        <v>0</v>
      </c>
      <c r="AR9" s="113">
        <v>0</v>
      </c>
      <c r="AS9" s="113">
        <v>0</v>
      </c>
      <c r="AT9" s="113">
        <v>0</v>
      </c>
      <c r="AU9" s="113">
        <v>0</v>
      </c>
      <c r="AV9" s="113">
        <v>0</v>
      </c>
      <c r="AW9" s="113">
        <v>0</v>
      </c>
      <c r="AX9" s="113">
        <v>0</v>
      </c>
      <c r="AY9" s="113">
        <v>0</v>
      </c>
      <c r="AZ9" s="113">
        <v>0</v>
      </c>
      <c r="BA9" s="113">
        <v>0</v>
      </c>
      <c r="BB9" s="113">
        <v>0</v>
      </c>
      <c r="BC9" s="113">
        <v>0</v>
      </c>
      <c r="BD9" s="113">
        <v>0</v>
      </c>
      <c r="BE9" s="113">
        <v>0</v>
      </c>
      <c r="BF9" s="113">
        <v>0</v>
      </c>
      <c r="BG9" s="113">
        <v>0</v>
      </c>
      <c r="BH9" s="113">
        <v>0</v>
      </c>
      <c r="BI9" s="113">
        <v>0</v>
      </c>
      <c r="BJ9" s="113">
        <v>0</v>
      </c>
      <c r="BK9" s="113">
        <v>0</v>
      </c>
      <c r="BL9" s="113">
        <v>0</v>
      </c>
      <c r="BM9" s="113">
        <v>0</v>
      </c>
      <c r="BN9" s="113">
        <v>0</v>
      </c>
      <c r="BO9" s="113">
        <v>0</v>
      </c>
      <c r="BP9" s="113">
        <v>0</v>
      </c>
      <c r="BQ9" s="113">
        <v>0</v>
      </c>
      <c r="BR9" s="113">
        <v>0</v>
      </c>
      <c r="BS9" s="113">
        <v>0</v>
      </c>
      <c r="BT9" s="113">
        <v>0</v>
      </c>
      <c r="BU9" s="113">
        <v>0</v>
      </c>
      <c r="BV9" s="113">
        <v>0</v>
      </c>
      <c r="BW9" s="113">
        <v>0</v>
      </c>
      <c r="BX9" s="113">
        <v>0</v>
      </c>
      <c r="BY9" s="113">
        <v>0</v>
      </c>
      <c r="BZ9" s="113">
        <v>0</v>
      </c>
      <c r="CA9" s="113">
        <v>0</v>
      </c>
      <c r="CB9" s="113">
        <v>0</v>
      </c>
      <c r="CC9" s="113">
        <v>0</v>
      </c>
      <c r="CD9" s="113">
        <v>0</v>
      </c>
      <c r="CE9" s="113">
        <v>0</v>
      </c>
      <c r="CF9" s="113">
        <v>0</v>
      </c>
      <c r="CG9" s="113">
        <v>0</v>
      </c>
      <c r="CH9" s="113">
        <v>0</v>
      </c>
      <c r="CI9" s="113">
        <v>0</v>
      </c>
      <c r="CJ9" s="113">
        <v>0</v>
      </c>
      <c r="CK9" s="113">
        <v>0</v>
      </c>
      <c r="CL9" s="113">
        <v>0</v>
      </c>
      <c r="CM9" s="113">
        <v>0</v>
      </c>
      <c r="CN9" s="113">
        <v>0</v>
      </c>
      <c r="CO9" s="113">
        <v>0</v>
      </c>
      <c r="CP9" s="113">
        <v>0</v>
      </c>
      <c r="CQ9" s="113">
        <v>0</v>
      </c>
      <c r="CR9" s="113">
        <v>0</v>
      </c>
      <c r="CS9" s="113">
        <v>0</v>
      </c>
      <c r="CT9" s="113">
        <v>0</v>
      </c>
      <c r="CU9" s="113">
        <v>0</v>
      </c>
      <c r="CV9" s="113">
        <v>0</v>
      </c>
      <c r="CW9" s="113">
        <v>0</v>
      </c>
      <c r="CX9" s="113">
        <v>0</v>
      </c>
      <c r="CY9" s="113">
        <v>0</v>
      </c>
      <c r="CZ9" s="113">
        <v>0</v>
      </c>
      <c r="DA9" s="113">
        <v>0</v>
      </c>
      <c r="DB9" s="113">
        <v>0</v>
      </c>
      <c r="DC9" s="113">
        <v>0</v>
      </c>
      <c r="DD9" s="113">
        <v>0</v>
      </c>
      <c r="DE9" s="113">
        <v>0</v>
      </c>
      <c r="DF9" s="113">
        <v>0</v>
      </c>
      <c r="DG9" s="113">
        <v>0</v>
      </c>
      <c r="DH9" s="113">
        <v>0</v>
      </c>
      <c r="DI9" s="113">
        <v>0</v>
      </c>
      <c r="DK9" s="112" t="s">
        <v>276</v>
      </c>
      <c r="DL9" s="113">
        <v>0</v>
      </c>
      <c r="DM9" s="113">
        <v>0</v>
      </c>
      <c r="DN9" s="113">
        <v>0</v>
      </c>
      <c r="DO9" s="113">
        <v>0</v>
      </c>
      <c r="DP9" s="113">
        <v>0</v>
      </c>
      <c r="DQ9" s="113">
        <v>0</v>
      </c>
      <c r="DR9" s="113">
        <v>0</v>
      </c>
      <c r="DS9" s="113">
        <v>0</v>
      </c>
      <c r="DT9" s="113">
        <v>0</v>
      </c>
      <c r="DU9" s="113">
        <v>0</v>
      </c>
      <c r="DV9" s="113">
        <v>0</v>
      </c>
      <c r="DW9" s="113">
        <v>0</v>
      </c>
      <c r="DX9" s="113">
        <v>0</v>
      </c>
      <c r="DY9" s="113">
        <v>0</v>
      </c>
      <c r="DZ9" s="113">
        <v>0</v>
      </c>
      <c r="EA9" s="113">
        <v>0</v>
      </c>
      <c r="EB9" s="113">
        <v>0</v>
      </c>
      <c r="EC9" s="113">
        <v>0</v>
      </c>
      <c r="ED9" s="113">
        <v>0</v>
      </c>
      <c r="EE9" s="113">
        <v>0</v>
      </c>
      <c r="EF9" s="113">
        <v>0</v>
      </c>
      <c r="EG9" s="113">
        <v>0</v>
      </c>
      <c r="EH9" s="113">
        <v>0</v>
      </c>
      <c r="EI9" s="113">
        <v>0</v>
      </c>
      <c r="EJ9" s="113">
        <v>0</v>
      </c>
      <c r="EK9" s="113">
        <v>0</v>
      </c>
      <c r="EL9" s="113">
        <v>0</v>
      </c>
      <c r="EM9" s="113">
        <v>0</v>
      </c>
      <c r="EN9" s="113">
        <v>0</v>
      </c>
      <c r="EO9" s="113">
        <v>0</v>
      </c>
      <c r="EP9" s="113">
        <v>0</v>
      </c>
      <c r="EQ9" s="113">
        <v>0</v>
      </c>
      <c r="ER9" s="113">
        <v>0</v>
      </c>
      <c r="ES9" s="113">
        <v>0</v>
      </c>
      <c r="ET9" s="113">
        <v>0</v>
      </c>
      <c r="EU9" s="113">
        <v>0</v>
      </c>
      <c r="EV9" s="113">
        <v>0</v>
      </c>
      <c r="EW9" s="113">
        <v>0</v>
      </c>
      <c r="EX9" s="113">
        <v>0</v>
      </c>
      <c r="EY9" s="113">
        <v>0</v>
      </c>
      <c r="EZ9" s="113">
        <v>0</v>
      </c>
      <c r="FA9" s="113">
        <v>0</v>
      </c>
      <c r="FB9" s="113">
        <v>0</v>
      </c>
      <c r="FC9" s="113">
        <v>0</v>
      </c>
      <c r="FD9" s="113">
        <v>0</v>
      </c>
      <c r="FE9" s="113">
        <v>0</v>
      </c>
      <c r="FF9" s="113">
        <v>0</v>
      </c>
      <c r="FG9" s="113">
        <v>0</v>
      </c>
      <c r="FH9" s="113">
        <v>0</v>
      </c>
      <c r="FI9" s="113">
        <v>0</v>
      </c>
      <c r="FJ9" s="113">
        <v>0</v>
      </c>
      <c r="FK9" s="113">
        <v>0</v>
      </c>
      <c r="FL9" s="113">
        <v>0</v>
      </c>
      <c r="FM9" s="113">
        <v>0</v>
      </c>
      <c r="FN9" s="113">
        <v>0</v>
      </c>
      <c r="FO9" s="113">
        <v>0</v>
      </c>
      <c r="FP9" s="113">
        <v>0</v>
      </c>
      <c r="FQ9" s="113">
        <v>0</v>
      </c>
      <c r="FR9" s="113">
        <v>0</v>
      </c>
      <c r="FS9" s="113">
        <v>0</v>
      </c>
      <c r="FT9" s="113">
        <v>0</v>
      </c>
      <c r="FU9" s="113">
        <v>0</v>
      </c>
      <c r="FV9" s="113">
        <v>0</v>
      </c>
      <c r="FW9" s="113">
        <v>0</v>
      </c>
      <c r="FX9" s="113">
        <v>0</v>
      </c>
      <c r="FY9" s="113">
        <v>0</v>
      </c>
      <c r="FZ9" s="113">
        <v>0</v>
      </c>
      <c r="GA9" s="113">
        <v>0</v>
      </c>
      <c r="GB9" s="113">
        <v>0</v>
      </c>
      <c r="GC9" s="113">
        <v>0</v>
      </c>
      <c r="GD9" s="113">
        <v>0</v>
      </c>
      <c r="GE9" s="113">
        <v>0</v>
      </c>
      <c r="GF9" s="113">
        <v>0</v>
      </c>
      <c r="GG9" s="113">
        <v>0</v>
      </c>
      <c r="GH9" s="113">
        <v>0</v>
      </c>
      <c r="GI9" s="113">
        <v>0</v>
      </c>
      <c r="GJ9" s="113">
        <v>0</v>
      </c>
      <c r="GK9" s="113">
        <v>0</v>
      </c>
      <c r="GL9" s="113">
        <v>0</v>
      </c>
      <c r="GM9" s="113">
        <v>0</v>
      </c>
      <c r="GN9" s="113">
        <v>0</v>
      </c>
      <c r="GO9" s="113">
        <v>0</v>
      </c>
      <c r="GP9" s="113">
        <v>0</v>
      </c>
      <c r="GQ9" s="113">
        <v>0</v>
      </c>
      <c r="GR9" s="113">
        <v>0</v>
      </c>
      <c r="GS9" s="113">
        <v>0</v>
      </c>
      <c r="GT9" s="113">
        <v>0</v>
      </c>
      <c r="GU9" s="113">
        <v>0</v>
      </c>
      <c r="GV9" s="113">
        <v>0</v>
      </c>
      <c r="GW9" s="113">
        <v>0</v>
      </c>
      <c r="GX9" s="113">
        <v>0</v>
      </c>
      <c r="GY9" s="113">
        <v>0</v>
      </c>
      <c r="GZ9" s="113">
        <v>0</v>
      </c>
      <c r="HA9" s="113">
        <v>0</v>
      </c>
      <c r="HB9" s="113">
        <v>0</v>
      </c>
      <c r="HC9" s="113">
        <v>0</v>
      </c>
      <c r="HD9" s="113">
        <v>0</v>
      </c>
      <c r="HE9" s="113">
        <v>0</v>
      </c>
      <c r="HF9" s="113">
        <v>0</v>
      </c>
      <c r="HG9" s="113">
        <v>0</v>
      </c>
      <c r="HH9" s="113">
        <v>0</v>
      </c>
    </row>
    <row r="10" spans="2:2629" s="61" customFormat="1" ht="12" x14ac:dyDescent="0.3">
      <c r="B10" s="112" t="s">
        <v>277</v>
      </c>
      <c r="C10" s="113">
        <v>0</v>
      </c>
      <c r="D10" s="113">
        <v>1</v>
      </c>
      <c r="E10" s="113">
        <v>0</v>
      </c>
      <c r="F10" s="113">
        <v>0</v>
      </c>
      <c r="G10" s="113">
        <v>0</v>
      </c>
      <c r="H10" s="113">
        <v>0</v>
      </c>
      <c r="I10" s="113">
        <v>0</v>
      </c>
      <c r="J10" s="113">
        <v>0</v>
      </c>
      <c r="L10" s="112" t="s">
        <v>277</v>
      </c>
      <c r="M10" s="113">
        <v>0</v>
      </c>
      <c r="N10" s="113">
        <v>0</v>
      </c>
      <c r="O10" s="113">
        <v>0</v>
      </c>
      <c r="P10" s="113">
        <v>0</v>
      </c>
      <c r="Q10" s="113">
        <v>0</v>
      </c>
      <c r="R10" s="113">
        <v>0</v>
      </c>
      <c r="S10" s="113">
        <v>0</v>
      </c>
      <c r="T10" s="113">
        <v>0</v>
      </c>
      <c r="U10" s="113">
        <v>0</v>
      </c>
      <c r="V10" s="113">
        <v>0</v>
      </c>
      <c r="W10" s="113">
        <v>0</v>
      </c>
      <c r="X10" s="113">
        <v>0</v>
      </c>
      <c r="Y10" s="113">
        <v>0</v>
      </c>
      <c r="Z10" s="113">
        <v>0</v>
      </c>
      <c r="AA10" s="113">
        <v>0</v>
      </c>
      <c r="AB10" s="113">
        <v>0</v>
      </c>
      <c r="AC10" s="113">
        <v>0</v>
      </c>
      <c r="AD10" s="113">
        <v>0</v>
      </c>
      <c r="AE10" s="113">
        <v>0</v>
      </c>
      <c r="AF10" s="113">
        <v>0</v>
      </c>
      <c r="AG10" s="113">
        <v>0</v>
      </c>
      <c r="AH10" s="113">
        <v>0</v>
      </c>
      <c r="AI10" s="113">
        <v>0</v>
      </c>
      <c r="AJ10" s="113">
        <v>0</v>
      </c>
      <c r="AK10" s="113">
        <v>0</v>
      </c>
      <c r="AL10" s="113">
        <v>0</v>
      </c>
      <c r="AM10" s="113">
        <v>0</v>
      </c>
      <c r="AN10" s="113">
        <v>0</v>
      </c>
      <c r="AO10" s="113">
        <v>0</v>
      </c>
      <c r="AP10" s="113">
        <v>0</v>
      </c>
      <c r="AQ10" s="113">
        <v>0</v>
      </c>
      <c r="AR10" s="113">
        <v>0</v>
      </c>
      <c r="AS10" s="113">
        <v>0</v>
      </c>
      <c r="AT10" s="113">
        <v>0</v>
      </c>
      <c r="AU10" s="113">
        <v>0</v>
      </c>
      <c r="AV10" s="113">
        <v>0</v>
      </c>
      <c r="AW10" s="113">
        <v>0</v>
      </c>
      <c r="AX10" s="113">
        <v>0</v>
      </c>
      <c r="AY10" s="113">
        <v>0</v>
      </c>
      <c r="AZ10" s="113">
        <v>0</v>
      </c>
      <c r="BA10" s="113">
        <v>0</v>
      </c>
      <c r="BB10" s="113">
        <v>0</v>
      </c>
      <c r="BC10" s="113">
        <v>0</v>
      </c>
      <c r="BD10" s="113">
        <v>0</v>
      </c>
      <c r="BE10" s="113">
        <v>0</v>
      </c>
      <c r="BF10" s="113">
        <v>0</v>
      </c>
      <c r="BG10" s="113">
        <v>0</v>
      </c>
      <c r="BH10" s="113">
        <v>0</v>
      </c>
      <c r="BI10" s="113">
        <v>0</v>
      </c>
      <c r="BJ10" s="113">
        <v>0</v>
      </c>
      <c r="BK10" s="113">
        <v>0</v>
      </c>
      <c r="BL10" s="113">
        <v>0</v>
      </c>
      <c r="BM10" s="113">
        <v>0</v>
      </c>
      <c r="BN10" s="113">
        <v>0</v>
      </c>
      <c r="BO10" s="113">
        <v>0</v>
      </c>
      <c r="BP10" s="113">
        <v>0</v>
      </c>
      <c r="BQ10" s="113">
        <v>0</v>
      </c>
      <c r="BR10" s="113">
        <v>0</v>
      </c>
      <c r="BS10" s="113">
        <v>0</v>
      </c>
      <c r="BT10" s="113">
        <v>0</v>
      </c>
      <c r="BU10" s="113">
        <v>0</v>
      </c>
      <c r="BV10" s="113">
        <v>0</v>
      </c>
      <c r="BW10" s="113">
        <v>0</v>
      </c>
      <c r="BX10" s="113">
        <v>0</v>
      </c>
      <c r="BY10" s="113">
        <v>0</v>
      </c>
      <c r="BZ10" s="113">
        <v>0</v>
      </c>
      <c r="CA10" s="113">
        <v>0</v>
      </c>
      <c r="CB10" s="113">
        <v>0</v>
      </c>
      <c r="CC10" s="113">
        <v>0</v>
      </c>
      <c r="CD10" s="113">
        <v>0</v>
      </c>
      <c r="CE10" s="113">
        <v>0</v>
      </c>
      <c r="CF10" s="113">
        <v>0</v>
      </c>
      <c r="CG10" s="113">
        <v>0</v>
      </c>
      <c r="CH10" s="113">
        <v>0</v>
      </c>
      <c r="CI10" s="113">
        <v>0</v>
      </c>
      <c r="CJ10" s="113">
        <v>0</v>
      </c>
      <c r="CK10" s="113">
        <v>0</v>
      </c>
      <c r="CL10" s="113">
        <v>0</v>
      </c>
      <c r="CM10" s="113">
        <v>0</v>
      </c>
      <c r="CN10" s="113">
        <v>0</v>
      </c>
      <c r="CO10" s="113">
        <v>0</v>
      </c>
      <c r="CP10" s="113">
        <v>0</v>
      </c>
      <c r="CQ10" s="113">
        <v>0</v>
      </c>
      <c r="CR10" s="113">
        <v>0</v>
      </c>
      <c r="CS10" s="113">
        <v>0</v>
      </c>
      <c r="CT10" s="113">
        <v>0</v>
      </c>
      <c r="CU10" s="113">
        <v>0</v>
      </c>
      <c r="CV10" s="113">
        <v>0</v>
      </c>
      <c r="CW10" s="113">
        <v>0</v>
      </c>
      <c r="CX10" s="113">
        <v>0</v>
      </c>
      <c r="CY10" s="113">
        <v>0</v>
      </c>
      <c r="CZ10" s="113">
        <v>0</v>
      </c>
      <c r="DA10" s="113">
        <v>0</v>
      </c>
      <c r="DB10" s="113">
        <v>0</v>
      </c>
      <c r="DC10" s="113">
        <v>0</v>
      </c>
      <c r="DD10" s="113">
        <v>0</v>
      </c>
      <c r="DE10" s="113">
        <v>0</v>
      </c>
      <c r="DF10" s="113">
        <v>0</v>
      </c>
      <c r="DG10" s="113">
        <v>0</v>
      </c>
      <c r="DH10" s="113">
        <v>0</v>
      </c>
      <c r="DI10" s="113">
        <v>0</v>
      </c>
      <c r="DK10" s="112" t="s">
        <v>277</v>
      </c>
      <c r="DL10" s="113">
        <v>0</v>
      </c>
      <c r="DM10" s="113">
        <v>0</v>
      </c>
      <c r="DN10" s="113">
        <v>0</v>
      </c>
      <c r="DO10" s="113">
        <v>0</v>
      </c>
      <c r="DP10" s="113">
        <v>0</v>
      </c>
      <c r="DQ10" s="113">
        <v>0</v>
      </c>
      <c r="DR10" s="113">
        <v>0</v>
      </c>
      <c r="DS10" s="113">
        <v>0</v>
      </c>
      <c r="DT10" s="113">
        <v>0</v>
      </c>
      <c r="DU10" s="113">
        <v>0</v>
      </c>
      <c r="DV10" s="113">
        <v>0</v>
      </c>
      <c r="DW10" s="113">
        <v>0</v>
      </c>
      <c r="DX10" s="113">
        <v>0</v>
      </c>
      <c r="DY10" s="113">
        <v>0</v>
      </c>
      <c r="DZ10" s="113">
        <v>0</v>
      </c>
      <c r="EA10" s="113">
        <v>0</v>
      </c>
      <c r="EB10" s="113">
        <v>0</v>
      </c>
      <c r="EC10" s="113">
        <v>0</v>
      </c>
      <c r="ED10" s="113">
        <v>0</v>
      </c>
      <c r="EE10" s="113">
        <v>0</v>
      </c>
      <c r="EF10" s="113">
        <v>0</v>
      </c>
      <c r="EG10" s="113">
        <v>0</v>
      </c>
      <c r="EH10" s="113">
        <v>0</v>
      </c>
      <c r="EI10" s="113">
        <v>0</v>
      </c>
      <c r="EJ10" s="113">
        <v>0</v>
      </c>
      <c r="EK10" s="113">
        <v>0</v>
      </c>
      <c r="EL10" s="113">
        <v>0</v>
      </c>
      <c r="EM10" s="113">
        <v>0</v>
      </c>
      <c r="EN10" s="113">
        <v>0</v>
      </c>
      <c r="EO10" s="113">
        <v>0</v>
      </c>
      <c r="EP10" s="113">
        <v>0</v>
      </c>
      <c r="EQ10" s="113">
        <v>0</v>
      </c>
      <c r="ER10" s="113">
        <v>0</v>
      </c>
      <c r="ES10" s="113">
        <v>0</v>
      </c>
      <c r="ET10" s="113">
        <v>0</v>
      </c>
      <c r="EU10" s="113">
        <v>0</v>
      </c>
      <c r="EV10" s="113">
        <v>0</v>
      </c>
      <c r="EW10" s="113">
        <v>0</v>
      </c>
      <c r="EX10" s="113">
        <v>0</v>
      </c>
      <c r="EY10" s="113">
        <v>0</v>
      </c>
      <c r="EZ10" s="113">
        <v>0</v>
      </c>
      <c r="FA10" s="113">
        <v>0</v>
      </c>
      <c r="FB10" s="113">
        <v>0</v>
      </c>
      <c r="FC10" s="113">
        <v>0</v>
      </c>
      <c r="FD10" s="113">
        <v>0</v>
      </c>
      <c r="FE10" s="113">
        <v>0</v>
      </c>
      <c r="FF10" s="113">
        <v>0</v>
      </c>
      <c r="FG10" s="113">
        <v>0</v>
      </c>
      <c r="FH10" s="113">
        <v>0</v>
      </c>
      <c r="FI10" s="113">
        <v>0</v>
      </c>
      <c r="FJ10" s="113">
        <v>0</v>
      </c>
      <c r="FK10" s="113">
        <v>0</v>
      </c>
      <c r="FL10" s="113">
        <v>0</v>
      </c>
      <c r="FM10" s="113">
        <v>0</v>
      </c>
      <c r="FN10" s="113">
        <v>0</v>
      </c>
      <c r="FO10" s="113">
        <v>0</v>
      </c>
      <c r="FP10" s="113">
        <v>0</v>
      </c>
      <c r="FQ10" s="113">
        <v>0</v>
      </c>
      <c r="FR10" s="113">
        <v>0</v>
      </c>
      <c r="FS10" s="113">
        <v>0</v>
      </c>
      <c r="FT10" s="113">
        <v>0</v>
      </c>
      <c r="FU10" s="113">
        <v>0</v>
      </c>
      <c r="FV10" s="113">
        <v>0</v>
      </c>
      <c r="FW10" s="113">
        <v>0</v>
      </c>
      <c r="FX10" s="113">
        <v>0</v>
      </c>
      <c r="FY10" s="113">
        <v>0</v>
      </c>
      <c r="FZ10" s="113">
        <v>0</v>
      </c>
      <c r="GA10" s="113">
        <v>0</v>
      </c>
      <c r="GB10" s="113">
        <v>0</v>
      </c>
      <c r="GC10" s="113">
        <v>0</v>
      </c>
      <c r="GD10" s="113">
        <v>0</v>
      </c>
      <c r="GE10" s="113">
        <v>0</v>
      </c>
      <c r="GF10" s="113">
        <v>0</v>
      </c>
      <c r="GG10" s="113">
        <v>0</v>
      </c>
      <c r="GH10" s="113">
        <v>0</v>
      </c>
      <c r="GI10" s="113">
        <v>0</v>
      </c>
      <c r="GJ10" s="113">
        <v>0</v>
      </c>
      <c r="GK10" s="113">
        <v>0</v>
      </c>
      <c r="GL10" s="113">
        <v>0</v>
      </c>
      <c r="GM10" s="113">
        <v>0</v>
      </c>
      <c r="GN10" s="113">
        <v>0</v>
      </c>
      <c r="GO10" s="113">
        <v>0</v>
      </c>
      <c r="GP10" s="113">
        <v>0</v>
      </c>
      <c r="GQ10" s="113">
        <v>0</v>
      </c>
      <c r="GR10" s="113">
        <v>0</v>
      </c>
      <c r="GS10" s="113">
        <v>0</v>
      </c>
      <c r="GT10" s="113">
        <v>0</v>
      </c>
      <c r="GU10" s="113">
        <v>0</v>
      </c>
      <c r="GV10" s="113">
        <v>0</v>
      </c>
      <c r="GW10" s="113">
        <v>0</v>
      </c>
      <c r="GX10" s="113">
        <v>0</v>
      </c>
      <c r="GY10" s="113">
        <v>0</v>
      </c>
      <c r="GZ10" s="113">
        <v>0</v>
      </c>
      <c r="HA10" s="113">
        <v>0</v>
      </c>
      <c r="HB10" s="113">
        <v>0</v>
      </c>
      <c r="HC10" s="113">
        <v>0</v>
      </c>
      <c r="HD10" s="113">
        <v>0</v>
      </c>
      <c r="HE10" s="113">
        <v>0</v>
      </c>
      <c r="HF10" s="113">
        <v>0</v>
      </c>
      <c r="HG10" s="113">
        <v>0</v>
      </c>
      <c r="HH10" s="113">
        <v>0</v>
      </c>
    </row>
    <row r="11" spans="2:2629" s="61" customFormat="1" ht="12" x14ac:dyDescent="0.3">
      <c r="B11" s="112" t="s">
        <v>278</v>
      </c>
      <c r="C11" s="113">
        <v>0</v>
      </c>
      <c r="D11" s="113">
        <v>0</v>
      </c>
      <c r="E11" s="113">
        <v>1</v>
      </c>
      <c r="F11" s="113">
        <v>0</v>
      </c>
      <c r="G11" s="113">
        <v>0</v>
      </c>
      <c r="H11" s="113">
        <v>0</v>
      </c>
      <c r="I11" s="113">
        <v>0</v>
      </c>
      <c r="J11" s="113">
        <v>0</v>
      </c>
      <c r="L11" s="112" t="s">
        <v>278</v>
      </c>
      <c r="M11" s="113">
        <v>0</v>
      </c>
      <c r="N11" s="113">
        <v>0</v>
      </c>
      <c r="O11" s="113">
        <v>0</v>
      </c>
      <c r="P11" s="113">
        <v>0</v>
      </c>
      <c r="Q11" s="113">
        <v>0</v>
      </c>
      <c r="R11" s="113">
        <v>0</v>
      </c>
      <c r="S11" s="113">
        <v>0</v>
      </c>
      <c r="T11" s="113">
        <v>0</v>
      </c>
      <c r="U11" s="113">
        <v>0</v>
      </c>
      <c r="V11" s="113">
        <v>0</v>
      </c>
      <c r="W11" s="113">
        <v>0</v>
      </c>
      <c r="X11" s="113">
        <v>0</v>
      </c>
      <c r="Y11" s="113">
        <v>0</v>
      </c>
      <c r="Z11" s="113">
        <v>0</v>
      </c>
      <c r="AA11" s="113">
        <v>0</v>
      </c>
      <c r="AB11" s="113">
        <v>0</v>
      </c>
      <c r="AC11" s="113">
        <v>0</v>
      </c>
      <c r="AD11" s="113">
        <v>0</v>
      </c>
      <c r="AE11" s="113">
        <v>0</v>
      </c>
      <c r="AF11" s="113">
        <v>0</v>
      </c>
      <c r="AG11" s="113">
        <v>0</v>
      </c>
      <c r="AH11" s="113">
        <v>0</v>
      </c>
      <c r="AI11" s="113">
        <v>0</v>
      </c>
      <c r="AJ11" s="113">
        <v>0</v>
      </c>
      <c r="AK11" s="113">
        <v>0</v>
      </c>
      <c r="AL11" s="113">
        <v>0</v>
      </c>
      <c r="AM11" s="113">
        <v>0</v>
      </c>
      <c r="AN11" s="113">
        <v>0</v>
      </c>
      <c r="AO11" s="113">
        <v>0</v>
      </c>
      <c r="AP11" s="113">
        <v>0</v>
      </c>
      <c r="AQ11" s="113">
        <v>0</v>
      </c>
      <c r="AR11" s="113">
        <v>0</v>
      </c>
      <c r="AS11" s="113">
        <v>0</v>
      </c>
      <c r="AT11" s="113">
        <v>0</v>
      </c>
      <c r="AU11" s="113">
        <v>0</v>
      </c>
      <c r="AV11" s="113">
        <v>0</v>
      </c>
      <c r="AW11" s="113">
        <v>0</v>
      </c>
      <c r="AX11" s="113">
        <v>0</v>
      </c>
      <c r="AY11" s="113">
        <v>0</v>
      </c>
      <c r="AZ11" s="113">
        <v>0</v>
      </c>
      <c r="BA11" s="113">
        <v>0</v>
      </c>
      <c r="BB11" s="113">
        <v>0</v>
      </c>
      <c r="BC11" s="113">
        <v>0</v>
      </c>
      <c r="BD11" s="113">
        <v>0</v>
      </c>
      <c r="BE11" s="113">
        <v>0</v>
      </c>
      <c r="BF11" s="113">
        <v>0</v>
      </c>
      <c r="BG11" s="113">
        <v>0</v>
      </c>
      <c r="BH11" s="113">
        <v>0</v>
      </c>
      <c r="BI11" s="113">
        <v>0</v>
      </c>
      <c r="BJ11" s="113">
        <v>0</v>
      </c>
      <c r="BK11" s="113">
        <v>0</v>
      </c>
      <c r="BL11" s="113">
        <v>0</v>
      </c>
      <c r="BM11" s="113">
        <v>0</v>
      </c>
      <c r="BN11" s="113">
        <v>0</v>
      </c>
      <c r="BO11" s="113">
        <v>0</v>
      </c>
      <c r="BP11" s="113">
        <v>0</v>
      </c>
      <c r="BQ11" s="113">
        <v>0</v>
      </c>
      <c r="BR11" s="113">
        <v>0</v>
      </c>
      <c r="BS11" s="113">
        <v>0</v>
      </c>
      <c r="BT11" s="113">
        <v>0</v>
      </c>
      <c r="BU11" s="113">
        <v>0</v>
      </c>
      <c r="BV11" s="113">
        <v>0</v>
      </c>
      <c r="BW11" s="113">
        <v>0</v>
      </c>
      <c r="BX11" s="113">
        <v>0</v>
      </c>
      <c r="BY11" s="113">
        <v>0</v>
      </c>
      <c r="BZ11" s="113">
        <v>0</v>
      </c>
      <c r="CA11" s="113">
        <v>0</v>
      </c>
      <c r="CB11" s="113">
        <v>0</v>
      </c>
      <c r="CC11" s="113">
        <v>0</v>
      </c>
      <c r="CD11" s="113">
        <v>0</v>
      </c>
      <c r="CE11" s="113">
        <v>0</v>
      </c>
      <c r="CF11" s="113">
        <v>0</v>
      </c>
      <c r="CG11" s="113">
        <v>0</v>
      </c>
      <c r="CH11" s="113">
        <v>0</v>
      </c>
      <c r="CI11" s="113">
        <v>0</v>
      </c>
      <c r="CJ11" s="113">
        <v>0</v>
      </c>
      <c r="CK11" s="113">
        <v>0</v>
      </c>
      <c r="CL11" s="113">
        <v>0</v>
      </c>
      <c r="CM11" s="113">
        <v>0</v>
      </c>
      <c r="CN11" s="113">
        <v>0</v>
      </c>
      <c r="CO11" s="113">
        <v>0</v>
      </c>
      <c r="CP11" s="113">
        <v>0</v>
      </c>
      <c r="CQ11" s="113">
        <v>0</v>
      </c>
      <c r="CR11" s="113">
        <v>0</v>
      </c>
      <c r="CS11" s="113">
        <v>0</v>
      </c>
      <c r="CT11" s="113">
        <v>0</v>
      </c>
      <c r="CU11" s="113">
        <v>0</v>
      </c>
      <c r="CV11" s="113">
        <v>0</v>
      </c>
      <c r="CW11" s="113">
        <v>0</v>
      </c>
      <c r="CX11" s="113">
        <v>0</v>
      </c>
      <c r="CY11" s="113">
        <v>0</v>
      </c>
      <c r="CZ11" s="113">
        <v>0</v>
      </c>
      <c r="DA11" s="113">
        <v>0</v>
      </c>
      <c r="DB11" s="113">
        <v>0</v>
      </c>
      <c r="DC11" s="113">
        <v>0</v>
      </c>
      <c r="DD11" s="113">
        <v>0</v>
      </c>
      <c r="DE11" s="113">
        <v>0</v>
      </c>
      <c r="DF11" s="113">
        <v>0</v>
      </c>
      <c r="DG11" s="113">
        <v>0</v>
      </c>
      <c r="DH11" s="113">
        <v>0</v>
      </c>
      <c r="DI11" s="113">
        <v>0</v>
      </c>
      <c r="DK11" s="112" t="s">
        <v>278</v>
      </c>
      <c r="DL11" s="113">
        <v>0</v>
      </c>
      <c r="DM11" s="113">
        <v>0</v>
      </c>
      <c r="DN11" s="113">
        <v>0</v>
      </c>
      <c r="DO11" s="113">
        <v>0</v>
      </c>
      <c r="DP11" s="113">
        <v>0</v>
      </c>
      <c r="DQ11" s="113">
        <v>0</v>
      </c>
      <c r="DR11" s="113">
        <v>0</v>
      </c>
      <c r="DS11" s="113">
        <v>0</v>
      </c>
      <c r="DT11" s="113">
        <v>0</v>
      </c>
      <c r="DU11" s="113">
        <v>0</v>
      </c>
      <c r="DV11" s="113">
        <v>0</v>
      </c>
      <c r="DW11" s="113">
        <v>0</v>
      </c>
      <c r="DX11" s="113">
        <v>0</v>
      </c>
      <c r="DY11" s="113">
        <v>0</v>
      </c>
      <c r="DZ11" s="113">
        <v>0</v>
      </c>
      <c r="EA11" s="113">
        <v>0</v>
      </c>
      <c r="EB11" s="113">
        <v>0</v>
      </c>
      <c r="EC11" s="113">
        <v>0</v>
      </c>
      <c r="ED11" s="113">
        <v>0</v>
      </c>
      <c r="EE11" s="113">
        <v>0</v>
      </c>
      <c r="EF11" s="113">
        <v>0</v>
      </c>
      <c r="EG11" s="113">
        <v>0</v>
      </c>
      <c r="EH11" s="113">
        <v>0</v>
      </c>
      <c r="EI11" s="113">
        <v>0</v>
      </c>
      <c r="EJ11" s="113">
        <v>0</v>
      </c>
      <c r="EK11" s="113">
        <v>0</v>
      </c>
      <c r="EL11" s="113">
        <v>0</v>
      </c>
      <c r="EM11" s="113">
        <v>0</v>
      </c>
      <c r="EN11" s="113">
        <v>0</v>
      </c>
      <c r="EO11" s="113">
        <v>0</v>
      </c>
      <c r="EP11" s="113">
        <v>0</v>
      </c>
      <c r="EQ11" s="113">
        <v>0</v>
      </c>
      <c r="ER11" s="113">
        <v>0</v>
      </c>
      <c r="ES11" s="113">
        <v>0</v>
      </c>
      <c r="ET11" s="113">
        <v>0</v>
      </c>
      <c r="EU11" s="113">
        <v>0</v>
      </c>
      <c r="EV11" s="113">
        <v>0</v>
      </c>
      <c r="EW11" s="113">
        <v>0</v>
      </c>
      <c r="EX11" s="113">
        <v>0</v>
      </c>
      <c r="EY11" s="113">
        <v>0</v>
      </c>
      <c r="EZ11" s="113">
        <v>0</v>
      </c>
      <c r="FA11" s="113">
        <v>0</v>
      </c>
      <c r="FB11" s="113">
        <v>0</v>
      </c>
      <c r="FC11" s="113">
        <v>0</v>
      </c>
      <c r="FD11" s="113">
        <v>0</v>
      </c>
      <c r="FE11" s="113">
        <v>0</v>
      </c>
      <c r="FF11" s="113">
        <v>0</v>
      </c>
      <c r="FG11" s="113">
        <v>0</v>
      </c>
      <c r="FH11" s="113">
        <v>0</v>
      </c>
      <c r="FI11" s="113">
        <v>0</v>
      </c>
      <c r="FJ11" s="113">
        <v>0</v>
      </c>
      <c r="FK11" s="113">
        <v>0</v>
      </c>
      <c r="FL11" s="113">
        <v>0</v>
      </c>
      <c r="FM11" s="113">
        <v>0</v>
      </c>
      <c r="FN11" s="113">
        <v>0</v>
      </c>
      <c r="FO11" s="113">
        <v>0</v>
      </c>
      <c r="FP11" s="113">
        <v>0</v>
      </c>
      <c r="FQ11" s="113">
        <v>0</v>
      </c>
      <c r="FR11" s="113">
        <v>0</v>
      </c>
      <c r="FS11" s="113">
        <v>0</v>
      </c>
      <c r="FT11" s="113">
        <v>0</v>
      </c>
      <c r="FU11" s="113">
        <v>0</v>
      </c>
      <c r="FV11" s="113">
        <v>0</v>
      </c>
      <c r="FW11" s="113">
        <v>0</v>
      </c>
      <c r="FX11" s="113">
        <v>0</v>
      </c>
      <c r="FY11" s="113">
        <v>0</v>
      </c>
      <c r="FZ11" s="113">
        <v>0</v>
      </c>
      <c r="GA11" s="113">
        <v>0</v>
      </c>
      <c r="GB11" s="113">
        <v>0</v>
      </c>
      <c r="GC11" s="113">
        <v>0</v>
      </c>
      <c r="GD11" s="113">
        <v>0</v>
      </c>
      <c r="GE11" s="113">
        <v>0</v>
      </c>
      <c r="GF11" s="113">
        <v>0</v>
      </c>
      <c r="GG11" s="113">
        <v>0</v>
      </c>
      <c r="GH11" s="113">
        <v>0</v>
      </c>
      <c r="GI11" s="113">
        <v>0</v>
      </c>
      <c r="GJ11" s="113">
        <v>0</v>
      </c>
      <c r="GK11" s="113">
        <v>0</v>
      </c>
      <c r="GL11" s="113">
        <v>0</v>
      </c>
      <c r="GM11" s="113">
        <v>0</v>
      </c>
      <c r="GN11" s="113">
        <v>0</v>
      </c>
      <c r="GO11" s="113">
        <v>0</v>
      </c>
      <c r="GP11" s="113">
        <v>0</v>
      </c>
      <c r="GQ11" s="113">
        <v>0</v>
      </c>
      <c r="GR11" s="113">
        <v>0</v>
      </c>
      <c r="GS11" s="113">
        <v>0</v>
      </c>
      <c r="GT11" s="113">
        <v>0</v>
      </c>
      <c r="GU11" s="113">
        <v>0</v>
      </c>
      <c r="GV11" s="113">
        <v>0</v>
      </c>
      <c r="GW11" s="113">
        <v>0</v>
      </c>
      <c r="GX11" s="113">
        <v>0</v>
      </c>
      <c r="GY11" s="113">
        <v>0</v>
      </c>
      <c r="GZ11" s="113">
        <v>0</v>
      </c>
      <c r="HA11" s="113">
        <v>0</v>
      </c>
      <c r="HB11" s="113">
        <v>0</v>
      </c>
      <c r="HC11" s="113">
        <v>0</v>
      </c>
      <c r="HD11" s="113">
        <v>0</v>
      </c>
      <c r="HE11" s="113">
        <v>0</v>
      </c>
      <c r="HF11" s="113">
        <v>0</v>
      </c>
      <c r="HG11" s="113">
        <v>0</v>
      </c>
      <c r="HH11" s="113">
        <v>0</v>
      </c>
    </row>
    <row r="12" spans="2:2629" s="61" customFormat="1" ht="12" x14ac:dyDescent="0.3">
      <c r="B12" s="112" t="s">
        <v>279</v>
      </c>
      <c r="C12" s="113">
        <v>0</v>
      </c>
      <c r="D12" s="113">
        <v>0</v>
      </c>
      <c r="E12" s="113">
        <v>0</v>
      </c>
      <c r="F12" s="113">
        <v>1</v>
      </c>
      <c r="G12" s="113">
        <v>0</v>
      </c>
      <c r="H12" s="113">
        <v>0</v>
      </c>
      <c r="I12" s="113">
        <v>0</v>
      </c>
      <c r="J12" s="113">
        <v>0</v>
      </c>
      <c r="L12" s="112" t="s">
        <v>279</v>
      </c>
      <c r="M12" s="113">
        <v>0</v>
      </c>
      <c r="N12" s="113">
        <v>0</v>
      </c>
      <c r="O12" s="113">
        <v>0</v>
      </c>
      <c r="P12" s="113">
        <v>0</v>
      </c>
      <c r="Q12" s="113">
        <v>0</v>
      </c>
      <c r="R12" s="113">
        <v>0</v>
      </c>
      <c r="S12" s="113">
        <v>0</v>
      </c>
      <c r="T12" s="113">
        <v>0</v>
      </c>
      <c r="U12" s="113">
        <v>0</v>
      </c>
      <c r="V12" s="113">
        <v>0</v>
      </c>
      <c r="W12" s="113">
        <v>0</v>
      </c>
      <c r="X12" s="113">
        <v>0</v>
      </c>
      <c r="Y12" s="113">
        <v>0</v>
      </c>
      <c r="Z12" s="113">
        <v>0</v>
      </c>
      <c r="AA12" s="113">
        <v>0</v>
      </c>
      <c r="AB12" s="113">
        <v>0</v>
      </c>
      <c r="AC12" s="113">
        <v>0</v>
      </c>
      <c r="AD12" s="113">
        <v>0</v>
      </c>
      <c r="AE12" s="113">
        <v>0</v>
      </c>
      <c r="AF12" s="113">
        <v>0</v>
      </c>
      <c r="AG12" s="113">
        <v>0</v>
      </c>
      <c r="AH12" s="113">
        <v>0</v>
      </c>
      <c r="AI12" s="113">
        <v>0</v>
      </c>
      <c r="AJ12" s="113">
        <v>0</v>
      </c>
      <c r="AK12" s="113">
        <v>0</v>
      </c>
      <c r="AL12" s="113">
        <v>0</v>
      </c>
      <c r="AM12" s="113">
        <v>0</v>
      </c>
      <c r="AN12" s="113">
        <v>0</v>
      </c>
      <c r="AO12" s="113">
        <v>0</v>
      </c>
      <c r="AP12" s="113">
        <v>0</v>
      </c>
      <c r="AQ12" s="113">
        <v>0</v>
      </c>
      <c r="AR12" s="113">
        <v>0</v>
      </c>
      <c r="AS12" s="113">
        <v>0</v>
      </c>
      <c r="AT12" s="113">
        <v>0</v>
      </c>
      <c r="AU12" s="113">
        <v>0</v>
      </c>
      <c r="AV12" s="113">
        <v>0</v>
      </c>
      <c r="AW12" s="113">
        <v>0</v>
      </c>
      <c r="AX12" s="113">
        <v>0</v>
      </c>
      <c r="AY12" s="113">
        <v>0</v>
      </c>
      <c r="AZ12" s="113">
        <v>0</v>
      </c>
      <c r="BA12" s="113">
        <v>0</v>
      </c>
      <c r="BB12" s="113">
        <v>0</v>
      </c>
      <c r="BC12" s="113">
        <v>0</v>
      </c>
      <c r="BD12" s="113">
        <v>0</v>
      </c>
      <c r="BE12" s="113">
        <v>0</v>
      </c>
      <c r="BF12" s="113">
        <v>0</v>
      </c>
      <c r="BG12" s="113">
        <v>0</v>
      </c>
      <c r="BH12" s="113">
        <v>0</v>
      </c>
      <c r="BI12" s="113">
        <v>0</v>
      </c>
      <c r="BJ12" s="113">
        <v>0</v>
      </c>
      <c r="BK12" s="113">
        <v>0</v>
      </c>
      <c r="BL12" s="113">
        <v>0</v>
      </c>
      <c r="BM12" s="113">
        <v>0</v>
      </c>
      <c r="BN12" s="113">
        <v>0</v>
      </c>
      <c r="BO12" s="113">
        <v>0</v>
      </c>
      <c r="BP12" s="113">
        <v>0</v>
      </c>
      <c r="BQ12" s="113">
        <v>0</v>
      </c>
      <c r="BR12" s="113">
        <v>0</v>
      </c>
      <c r="BS12" s="113">
        <v>0</v>
      </c>
      <c r="BT12" s="113">
        <v>0</v>
      </c>
      <c r="BU12" s="113">
        <v>0</v>
      </c>
      <c r="BV12" s="113">
        <v>0</v>
      </c>
      <c r="BW12" s="113">
        <v>0</v>
      </c>
      <c r="BX12" s="113">
        <v>0</v>
      </c>
      <c r="BY12" s="113">
        <v>0</v>
      </c>
      <c r="BZ12" s="113">
        <v>0</v>
      </c>
      <c r="CA12" s="113">
        <v>0</v>
      </c>
      <c r="CB12" s="113">
        <v>0</v>
      </c>
      <c r="CC12" s="113">
        <v>0</v>
      </c>
      <c r="CD12" s="113">
        <v>0</v>
      </c>
      <c r="CE12" s="113">
        <v>0</v>
      </c>
      <c r="CF12" s="113">
        <v>0</v>
      </c>
      <c r="CG12" s="113">
        <v>0</v>
      </c>
      <c r="CH12" s="113">
        <v>0</v>
      </c>
      <c r="CI12" s="113">
        <v>0</v>
      </c>
      <c r="CJ12" s="113">
        <v>0</v>
      </c>
      <c r="CK12" s="113">
        <v>0</v>
      </c>
      <c r="CL12" s="113">
        <v>0</v>
      </c>
      <c r="CM12" s="113">
        <v>0</v>
      </c>
      <c r="CN12" s="113">
        <v>0</v>
      </c>
      <c r="CO12" s="113">
        <v>0</v>
      </c>
      <c r="CP12" s="113">
        <v>0</v>
      </c>
      <c r="CQ12" s="113">
        <v>0</v>
      </c>
      <c r="CR12" s="113">
        <v>0</v>
      </c>
      <c r="CS12" s="113">
        <v>0</v>
      </c>
      <c r="CT12" s="113">
        <v>0</v>
      </c>
      <c r="CU12" s="113">
        <v>0</v>
      </c>
      <c r="CV12" s="113">
        <v>0</v>
      </c>
      <c r="CW12" s="113">
        <v>0</v>
      </c>
      <c r="CX12" s="113">
        <v>0</v>
      </c>
      <c r="CY12" s="113">
        <v>0</v>
      </c>
      <c r="CZ12" s="113">
        <v>0</v>
      </c>
      <c r="DA12" s="113">
        <v>0</v>
      </c>
      <c r="DB12" s="113">
        <v>0</v>
      </c>
      <c r="DC12" s="113">
        <v>0</v>
      </c>
      <c r="DD12" s="113">
        <v>0</v>
      </c>
      <c r="DE12" s="113">
        <v>0</v>
      </c>
      <c r="DF12" s="113">
        <v>0</v>
      </c>
      <c r="DG12" s="113">
        <v>0</v>
      </c>
      <c r="DH12" s="113">
        <v>0</v>
      </c>
      <c r="DI12" s="113">
        <v>0</v>
      </c>
      <c r="DK12" s="112" t="s">
        <v>279</v>
      </c>
      <c r="DL12" s="113">
        <v>0</v>
      </c>
      <c r="DM12" s="113">
        <v>0</v>
      </c>
      <c r="DN12" s="113">
        <v>0</v>
      </c>
      <c r="DO12" s="113">
        <v>0</v>
      </c>
      <c r="DP12" s="113">
        <v>0</v>
      </c>
      <c r="DQ12" s="113">
        <v>0</v>
      </c>
      <c r="DR12" s="113">
        <v>0</v>
      </c>
      <c r="DS12" s="113">
        <v>0</v>
      </c>
      <c r="DT12" s="113">
        <v>0</v>
      </c>
      <c r="DU12" s="113">
        <v>0</v>
      </c>
      <c r="DV12" s="113">
        <v>0</v>
      </c>
      <c r="DW12" s="113">
        <v>0</v>
      </c>
      <c r="DX12" s="113">
        <v>0</v>
      </c>
      <c r="DY12" s="113">
        <v>0</v>
      </c>
      <c r="DZ12" s="113">
        <v>0</v>
      </c>
      <c r="EA12" s="113">
        <v>0</v>
      </c>
      <c r="EB12" s="113">
        <v>0</v>
      </c>
      <c r="EC12" s="113">
        <v>0</v>
      </c>
      <c r="ED12" s="113">
        <v>0</v>
      </c>
      <c r="EE12" s="113">
        <v>0</v>
      </c>
      <c r="EF12" s="113">
        <v>0</v>
      </c>
      <c r="EG12" s="113">
        <v>0</v>
      </c>
      <c r="EH12" s="113">
        <v>0</v>
      </c>
      <c r="EI12" s="113">
        <v>0</v>
      </c>
      <c r="EJ12" s="113">
        <v>0</v>
      </c>
      <c r="EK12" s="113">
        <v>0</v>
      </c>
      <c r="EL12" s="113">
        <v>0</v>
      </c>
      <c r="EM12" s="113">
        <v>0</v>
      </c>
      <c r="EN12" s="113">
        <v>0</v>
      </c>
      <c r="EO12" s="113">
        <v>0</v>
      </c>
      <c r="EP12" s="113">
        <v>0</v>
      </c>
      <c r="EQ12" s="113">
        <v>0</v>
      </c>
      <c r="ER12" s="113">
        <v>0</v>
      </c>
      <c r="ES12" s="113">
        <v>0</v>
      </c>
      <c r="ET12" s="113">
        <v>0</v>
      </c>
      <c r="EU12" s="113">
        <v>0</v>
      </c>
      <c r="EV12" s="113">
        <v>0</v>
      </c>
      <c r="EW12" s="113">
        <v>0</v>
      </c>
      <c r="EX12" s="113">
        <v>0</v>
      </c>
      <c r="EY12" s="113">
        <v>0</v>
      </c>
      <c r="EZ12" s="113">
        <v>0</v>
      </c>
      <c r="FA12" s="113">
        <v>0</v>
      </c>
      <c r="FB12" s="113">
        <v>0</v>
      </c>
      <c r="FC12" s="113">
        <v>0</v>
      </c>
      <c r="FD12" s="113">
        <v>0</v>
      </c>
      <c r="FE12" s="113">
        <v>0</v>
      </c>
      <c r="FF12" s="113">
        <v>0</v>
      </c>
      <c r="FG12" s="113">
        <v>0</v>
      </c>
      <c r="FH12" s="113">
        <v>0</v>
      </c>
      <c r="FI12" s="113">
        <v>0</v>
      </c>
      <c r="FJ12" s="113">
        <v>0</v>
      </c>
      <c r="FK12" s="113">
        <v>0</v>
      </c>
      <c r="FL12" s="113">
        <v>0</v>
      </c>
      <c r="FM12" s="113">
        <v>0</v>
      </c>
      <c r="FN12" s="113">
        <v>0</v>
      </c>
      <c r="FO12" s="113">
        <v>0</v>
      </c>
      <c r="FP12" s="113">
        <v>0</v>
      </c>
      <c r="FQ12" s="113">
        <v>0</v>
      </c>
      <c r="FR12" s="113">
        <v>0</v>
      </c>
      <c r="FS12" s="113">
        <v>0</v>
      </c>
      <c r="FT12" s="113">
        <v>0</v>
      </c>
      <c r="FU12" s="113">
        <v>0</v>
      </c>
      <c r="FV12" s="113">
        <v>0</v>
      </c>
      <c r="FW12" s="113">
        <v>0</v>
      </c>
      <c r="FX12" s="113">
        <v>0</v>
      </c>
      <c r="FY12" s="113">
        <v>0</v>
      </c>
      <c r="FZ12" s="113">
        <v>0</v>
      </c>
      <c r="GA12" s="113">
        <v>0</v>
      </c>
      <c r="GB12" s="113">
        <v>0</v>
      </c>
      <c r="GC12" s="113">
        <v>0</v>
      </c>
      <c r="GD12" s="113">
        <v>0</v>
      </c>
      <c r="GE12" s="113">
        <v>0</v>
      </c>
      <c r="GF12" s="113">
        <v>0</v>
      </c>
      <c r="GG12" s="113">
        <v>0</v>
      </c>
      <c r="GH12" s="113">
        <v>0</v>
      </c>
      <c r="GI12" s="113">
        <v>0</v>
      </c>
      <c r="GJ12" s="113">
        <v>0</v>
      </c>
      <c r="GK12" s="113">
        <v>0</v>
      </c>
      <c r="GL12" s="113">
        <v>0</v>
      </c>
      <c r="GM12" s="113">
        <v>0</v>
      </c>
      <c r="GN12" s="113">
        <v>0</v>
      </c>
      <c r="GO12" s="113">
        <v>0</v>
      </c>
      <c r="GP12" s="113">
        <v>0</v>
      </c>
      <c r="GQ12" s="113">
        <v>0</v>
      </c>
      <c r="GR12" s="113">
        <v>0</v>
      </c>
      <c r="GS12" s="113">
        <v>0</v>
      </c>
      <c r="GT12" s="113">
        <v>0</v>
      </c>
      <c r="GU12" s="113">
        <v>0</v>
      </c>
      <c r="GV12" s="113">
        <v>0</v>
      </c>
      <c r="GW12" s="113">
        <v>0</v>
      </c>
      <c r="GX12" s="113">
        <v>0</v>
      </c>
      <c r="GY12" s="113">
        <v>0</v>
      </c>
      <c r="GZ12" s="113">
        <v>0</v>
      </c>
      <c r="HA12" s="113">
        <v>0</v>
      </c>
      <c r="HB12" s="113">
        <v>0</v>
      </c>
      <c r="HC12" s="113">
        <v>0</v>
      </c>
      <c r="HD12" s="113">
        <v>0</v>
      </c>
      <c r="HE12" s="113">
        <v>0</v>
      </c>
      <c r="HF12" s="113">
        <v>0</v>
      </c>
      <c r="HG12" s="113">
        <v>0</v>
      </c>
      <c r="HH12" s="113">
        <v>0</v>
      </c>
    </row>
    <row r="13" spans="2:2629" s="61" customFormat="1" ht="12" x14ac:dyDescent="0.3">
      <c r="B13" s="112" t="s">
        <v>280</v>
      </c>
      <c r="C13" s="113">
        <v>0</v>
      </c>
      <c r="D13" s="113">
        <v>0</v>
      </c>
      <c r="E13" s="113">
        <v>0</v>
      </c>
      <c r="F13" s="113">
        <v>0</v>
      </c>
      <c r="G13" s="113">
        <v>1</v>
      </c>
      <c r="H13" s="113">
        <v>0</v>
      </c>
      <c r="I13" s="113">
        <v>0</v>
      </c>
      <c r="J13" s="113">
        <v>0</v>
      </c>
      <c r="L13" s="112" t="s">
        <v>280</v>
      </c>
      <c r="M13" s="113">
        <v>0</v>
      </c>
      <c r="N13" s="113">
        <v>0</v>
      </c>
      <c r="O13" s="113">
        <v>0</v>
      </c>
      <c r="P13" s="113">
        <v>0</v>
      </c>
      <c r="Q13" s="113">
        <v>0</v>
      </c>
      <c r="R13" s="113">
        <v>0</v>
      </c>
      <c r="S13" s="113">
        <v>0</v>
      </c>
      <c r="T13" s="113">
        <v>0</v>
      </c>
      <c r="U13" s="113">
        <v>0</v>
      </c>
      <c r="V13" s="113">
        <v>0</v>
      </c>
      <c r="W13" s="113">
        <v>0</v>
      </c>
      <c r="X13" s="113">
        <v>0</v>
      </c>
      <c r="Y13" s="113">
        <v>0</v>
      </c>
      <c r="Z13" s="113">
        <v>0</v>
      </c>
      <c r="AA13" s="113">
        <v>0</v>
      </c>
      <c r="AB13" s="113">
        <v>0</v>
      </c>
      <c r="AC13" s="113">
        <v>0</v>
      </c>
      <c r="AD13" s="113">
        <v>0</v>
      </c>
      <c r="AE13" s="113">
        <v>0</v>
      </c>
      <c r="AF13" s="113">
        <v>0</v>
      </c>
      <c r="AG13" s="113">
        <v>0</v>
      </c>
      <c r="AH13" s="113">
        <v>0</v>
      </c>
      <c r="AI13" s="113">
        <v>0</v>
      </c>
      <c r="AJ13" s="113">
        <v>0</v>
      </c>
      <c r="AK13" s="113">
        <v>0</v>
      </c>
      <c r="AL13" s="113">
        <v>0</v>
      </c>
      <c r="AM13" s="113">
        <v>0</v>
      </c>
      <c r="AN13" s="113">
        <v>0</v>
      </c>
      <c r="AO13" s="113">
        <v>0</v>
      </c>
      <c r="AP13" s="113">
        <v>0</v>
      </c>
      <c r="AQ13" s="113">
        <v>0</v>
      </c>
      <c r="AR13" s="113">
        <v>0</v>
      </c>
      <c r="AS13" s="113">
        <v>0</v>
      </c>
      <c r="AT13" s="113">
        <v>0</v>
      </c>
      <c r="AU13" s="113">
        <v>0</v>
      </c>
      <c r="AV13" s="113">
        <v>0</v>
      </c>
      <c r="AW13" s="113">
        <v>0</v>
      </c>
      <c r="AX13" s="113">
        <v>0</v>
      </c>
      <c r="AY13" s="113">
        <v>0</v>
      </c>
      <c r="AZ13" s="113">
        <v>0</v>
      </c>
      <c r="BA13" s="113">
        <v>0</v>
      </c>
      <c r="BB13" s="113">
        <v>0</v>
      </c>
      <c r="BC13" s="113">
        <v>0</v>
      </c>
      <c r="BD13" s="113">
        <v>0</v>
      </c>
      <c r="BE13" s="113">
        <v>0</v>
      </c>
      <c r="BF13" s="113">
        <v>0</v>
      </c>
      <c r="BG13" s="113">
        <v>0</v>
      </c>
      <c r="BH13" s="113">
        <v>0</v>
      </c>
      <c r="BI13" s="113">
        <v>0</v>
      </c>
      <c r="BJ13" s="113">
        <v>0</v>
      </c>
      <c r="BK13" s="113">
        <v>0</v>
      </c>
      <c r="BL13" s="113">
        <v>0</v>
      </c>
      <c r="BM13" s="113">
        <v>0</v>
      </c>
      <c r="BN13" s="113">
        <v>0</v>
      </c>
      <c r="BO13" s="113">
        <v>0</v>
      </c>
      <c r="BP13" s="113">
        <v>0</v>
      </c>
      <c r="BQ13" s="113">
        <v>0</v>
      </c>
      <c r="BR13" s="113">
        <v>0</v>
      </c>
      <c r="BS13" s="113">
        <v>0</v>
      </c>
      <c r="BT13" s="113">
        <v>0</v>
      </c>
      <c r="BU13" s="113">
        <v>0</v>
      </c>
      <c r="BV13" s="113">
        <v>0</v>
      </c>
      <c r="BW13" s="113">
        <v>0</v>
      </c>
      <c r="BX13" s="113">
        <v>0</v>
      </c>
      <c r="BY13" s="113">
        <v>0</v>
      </c>
      <c r="BZ13" s="113">
        <v>0</v>
      </c>
      <c r="CA13" s="113">
        <v>0</v>
      </c>
      <c r="CB13" s="113">
        <v>0</v>
      </c>
      <c r="CC13" s="113">
        <v>0</v>
      </c>
      <c r="CD13" s="113">
        <v>0</v>
      </c>
      <c r="CE13" s="113">
        <v>0</v>
      </c>
      <c r="CF13" s="113">
        <v>0</v>
      </c>
      <c r="CG13" s="113">
        <v>0</v>
      </c>
      <c r="CH13" s="113">
        <v>0</v>
      </c>
      <c r="CI13" s="113">
        <v>0</v>
      </c>
      <c r="CJ13" s="113">
        <v>0</v>
      </c>
      <c r="CK13" s="113">
        <v>0</v>
      </c>
      <c r="CL13" s="113">
        <v>0</v>
      </c>
      <c r="CM13" s="113">
        <v>0</v>
      </c>
      <c r="CN13" s="113">
        <v>0</v>
      </c>
      <c r="CO13" s="113">
        <v>0</v>
      </c>
      <c r="CP13" s="113">
        <v>0</v>
      </c>
      <c r="CQ13" s="113">
        <v>0</v>
      </c>
      <c r="CR13" s="113">
        <v>0</v>
      </c>
      <c r="CS13" s="113">
        <v>0</v>
      </c>
      <c r="CT13" s="113">
        <v>0</v>
      </c>
      <c r="CU13" s="113">
        <v>0</v>
      </c>
      <c r="CV13" s="113">
        <v>0</v>
      </c>
      <c r="CW13" s="113">
        <v>0</v>
      </c>
      <c r="CX13" s="113">
        <v>0</v>
      </c>
      <c r="CY13" s="113">
        <v>0</v>
      </c>
      <c r="CZ13" s="113">
        <v>0</v>
      </c>
      <c r="DA13" s="113">
        <v>0</v>
      </c>
      <c r="DB13" s="113">
        <v>0</v>
      </c>
      <c r="DC13" s="113">
        <v>0</v>
      </c>
      <c r="DD13" s="113">
        <v>0</v>
      </c>
      <c r="DE13" s="113">
        <v>0</v>
      </c>
      <c r="DF13" s="113">
        <v>0</v>
      </c>
      <c r="DG13" s="113">
        <v>0</v>
      </c>
      <c r="DH13" s="113">
        <v>0</v>
      </c>
      <c r="DI13" s="113">
        <v>0</v>
      </c>
      <c r="DK13" s="112" t="s">
        <v>280</v>
      </c>
      <c r="DL13" s="113">
        <v>0</v>
      </c>
      <c r="DM13" s="113">
        <v>0</v>
      </c>
      <c r="DN13" s="113">
        <v>0</v>
      </c>
      <c r="DO13" s="113">
        <v>0</v>
      </c>
      <c r="DP13" s="113">
        <v>0</v>
      </c>
      <c r="DQ13" s="113">
        <v>0</v>
      </c>
      <c r="DR13" s="113">
        <v>0</v>
      </c>
      <c r="DS13" s="113">
        <v>0</v>
      </c>
      <c r="DT13" s="113">
        <v>0</v>
      </c>
      <c r="DU13" s="113">
        <v>0</v>
      </c>
      <c r="DV13" s="113">
        <v>0</v>
      </c>
      <c r="DW13" s="113">
        <v>0</v>
      </c>
      <c r="DX13" s="113">
        <v>0</v>
      </c>
      <c r="DY13" s="113">
        <v>0</v>
      </c>
      <c r="DZ13" s="113">
        <v>0</v>
      </c>
      <c r="EA13" s="113">
        <v>0</v>
      </c>
      <c r="EB13" s="113">
        <v>0</v>
      </c>
      <c r="EC13" s="113">
        <v>0</v>
      </c>
      <c r="ED13" s="113">
        <v>0</v>
      </c>
      <c r="EE13" s="113">
        <v>0</v>
      </c>
      <c r="EF13" s="113">
        <v>0</v>
      </c>
      <c r="EG13" s="113">
        <v>0</v>
      </c>
      <c r="EH13" s="113">
        <v>0</v>
      </c>
      <c r="EI13" s="113">
        <v>0</v>
      </c>
      <c r="EJ13" s="113">
        <v>0</v>
      </c>
      <c r="EK13" s="113">
        <v>0</v>
      </c>
      <c r="EL13" s="113">
        <v>0</v>
      </c>
      <c r="EM13" s="113">
        <v>0</v>
      </c>
      <c r="EN13" s="113">
        <v>0</v>
      </c>
      <c r="EO13" s="113">
        <v>0</v>
      </c>
      <c r="EP13" s="113">
        <v>0</v>
      </c>
      <c r="EQ13" s="113">
        <v>0</v>
      </c>
      <c r="ER13" s="113">
        <v>0</v>
      </c>
      <c r="ES13" s="113">
        <v>0</v>
      </c>
      <c r="ET13" s="113">
        <v>0</v>
      </c>
      <c r="EU13" s="113">
        <v>0</v>
      </c>
      <c r="EV13" s="113">
        <v>0</v>
      </c>
      <c r="EW13" s="113">
        <v>0</v>
      </c>
      <c r="EX13" s="113">
        <v>0</v>
      </c>
      <c r="EY13" s="113">
        <v>0</v>
      </c>
      <c r="EZ13" s="113">
        <v>0</v>
      </c>
      <c r="FA13" s="113">
        <v>0</v>
      </c>
      <c r="FB13" s="113">
        <v>0</v>
      </c>
      <c r="FC13" s="113">
        <v>0</v>
      </c>
      <c r="FD13" s="113">
        <v>0</v>
      </c>
      <c r="FE13" s="113">
        <v>0</v>
      </c>
      <c r="FF13" s="113">
        <v>0</v>
      </c>
      <c r="FG13" s="113">
        <v>0</v>
      </c>
      <c r="FH13" s="113">
        <v>0</v>
      </c>
      <c r="FI13" s="113">
        <v>0</v>
      </c>
      <c r="FJ13" s="113">
        <v>0</v>
      </c>
      <c r="FK13" s="113">
        <v>0</v>
      </c>
      <c r="FL13" s="113">
        <v>0</v>
      </c>
      <c r="FM13" s="113">
        <v>0</v>
      </c>
      <c r="FN13" s="113">
        <v>0</v>
      </c>
      <c r="FO13" s="113">
        <v>0</v>
      </c>
      <c r="FP13" s="113">
        <v>0</v>
      </c>
      <c r="FQ13" s="113">
        <v>0</v>
      </c>
      <c r="FR13" s="113">
        <v>0</v>
      </c>
      <c r="FS13" s="113">
        <v>0</v>
      </c>
      <c r="FT13" s="113">
        <v>0</v>
      </c>
      <c r="FU13" s="113">
        <v>0</v>
      </c>
      <c r="FV13" s="113">
        <v>0</v>
      </c>
      <c r="FW13" s="113">
        <v>0</v>
      </c>
      <c r="FX13" s="113">
        <v>0</v>
      </c>
      <c r="FY13" s="113">
        <v>0</v>
      </c>
      <c r="FZ13" s="113">
        <v>0</v>
      </c>
      <c r="GA13" s="113">
        <v>0</v>
      </c>
      <c r="GB13" s="113">
        <v>0</v>
      </c>
      <c r="GC13" s="113">
        <v>0</v>
      </c>
      <c r="GD13" s="113">
        <v>0</v>
      </c>
      <c r="GE13" s="113">
        <v>0</v>
      </c>
      <c r="GF13" s="113">
        <v>0</v>
      </c>
      <c r="GG13" s="113">
        <v>0</v>
      </c>
      <c r="GH13" s="113">
        <v>0</v>
      </c>
      <c r="GI13" s="113">
        <v>0</v>
      </c>
      <c r="GJ13" s="113">
        <v>0</v>
      </c>
      <c r="GK13" s="113">
        <v>0</v>
      </c>
      <c r="GL13" s="113">
        <v>0</v>
      </c>
      <c r="GM13" s="113">
        <v>0</v>
      </c>
      <c r="GN13" s="113">
        <v>0</v>
      </c>
      <c r="GO13" s="113">
        <v>0</v>
      </c>
      <c r="GP13" s="113">
        <v>0</v>
      </c>
      <c r="GQ13" s="113">
        <v>0</v>
      </c>
      <c r="GR13" s="113">
        <v>0</v>
      </c>
      <c r="GS13" s="113">
        <v>0</v>
      </c>
      <c r="GT13" s="113">
        <v>0</v>
      </c>
      <c r="GU13" s="113">
        <v>0</v>
      </c>
      <c r="GV13" s="113">
        <v>0</v>
      </c>
      <c r="GW13" s="113">
        <v>0</v>
      </c>
      <c r="GX13" s="113">
        <v>0</v>
      </c>
      <c r="GY13" s="113">
        <v>0</v>
      </c>
      <c r="GZ13" s="113">
        <v>0</v>
      </c>
      <c r="HA13" s="113">
        <v>0</v>
      </c>
      <c r="HB13" s="113">
        <v>0</v>
      </c>
      <c r="HC13" s="113">
        <v>0</v>
      </c>
      <c r="HD13" s="113">
        <v>0</v>
      </c>
      <c r="HE13" s="113">
        <v>0</v>
      </c>
      <c r="HF13" s="113">
        <v>0</v>
      </c>
      <c r="HG13" s="113">
        <v>0</v>
      </c>
      <c r="HH13" s="113">
        <v>0</v>
      </c>
    </row>
    <row r="14" spans="2:2629" s="61" customFormat="1" ht="12" x14ac:dyDescent="0.3">
      <c r="B14" s="112" t="s">
        <v>281</v>
      </c>
      <c r="C14" s="113">
        <v>0</v>
      </c>
      <c r="D14" s="113">
        <v>0</v>
      </c>
      <c r="E14" s="113">
        <v>0</v>
      </c>
      <c r="F14" s="113">
        <v>0</v>
      </c>
      <c r="G14" s="113">
        <v>0</v>
      </c>
      <c r="H14" s="113">
        <v>1</v>
      </c>
      <c r="I14" s="113">
        <v>0</v>
      </c>
      <c r="J14" s="113">
        <v>0</v>
      </c>
      <c r="L14" s="112" t="s">
        <v>281</v>
      </c>
      <c r="M14" s="113">
        <v>0</v>
      </c>
      <c r="N14" s="113">
        <v>0</v>
      </c>
      <c r="O14" s="113">
        <v>0</v>
      </c>
      <c r="P14" s="113">
        <v>0</v>
      </c>
      <c r="Q14" s="113">
        <v>0</v>
      </c>
      <c r="R14" s="113">
        <v>0</v>
      </c>
      <c r="S14" s="113">
        <v>0</v>
      </c>
      <c r="T14" s="113">
        <v>0</v>
      </c>
      <c r="U14" s="113">
        <v>0</v>
      </c>
      <c r="V14" s="113">
        <v>0</v>
      </c>
      <c r="W14" s="113">
        <v>0</v>
      </c>
      <c r="X14" s="113">
        <v>0</v>
      </c>
      <c r="Y14" s="113">
        <v>0</v>
      </c>
      <c r="Z14" s="113">
        <v>0</v>
      </c>
      <c r="AA14" s="113">
        <v>0</v>
      </c>
      <c r="AB14" s="113">
        <v>0</v>
      </c>
      <c r="AC14" s="113">
        <v>0</v>
      </c>
      <c r="AD14" s="113">
        <v>0</v>
      </c>
      <c r="AE14" s="113">
        <v>0</v>
      </c>
      <c r="AF14" s="113">
        <v>0</v>
      </c>
      <c r="AG14" s="113">
        <v>0</v>
      </c>
      <c r="AH14" s="113">
        <v>0</v>
      </c>
      <c r="AI14" s="113">
        <v>0</v>
      </c>
      <c r="AJ14" s="113">
        <v>0</v>
      </c>
      <c r="AK14" s="113">
        <v>0</v>
      </c>
      <c r="AL14" s="113">
        <v>0</v>
      </c>
      <c r="AM14" s="113">
        <v>0</v>
      </c>
      <c r="AN14" s="113">
        <v>0</v>
      </c>
      <c r="AO14" s="113">
        <v>0</v>
      </c>
      <c r="AP14" s="113">
        <v>0</v>
      </c>
      <c r="AQ14" s="113">
        <v>0</v>
      </c>
      <c r="AR14" s="113">
        <v>0</v>
      </c>
      <c r="AS14" s="113">
        <v>0</v>
      </c>
      <c r="AT14" s="113">
        <v>0</v>
      </c>
      <c r="AU14" s="113">
        <v>0</v>
      </c>
      <c r="AV14" s="113">
        <v>0</v>
      </c>
      <c r="AW14" s="113">
        <v>0</v>
      </c>
      <c r="AX14" s="113">
        <v>0</v>
      </c>
      <c r="AY14" s="113">
        <v>0</v>
      </c>
      <c r="AZ14" s="113">
        <v>0</v>
      </c>
      <c r="BA14" s="113">
        <v>0</v>
      </c>
      <c r="BB14" s="113">
        <v>0</v>
      </c>
      <c r="BC14" s="113">
        <v>0</v>
      </c>
      <c r="BD14" s="113">
        <v>0</v>
      </c>
      <c r="BE14" s="113">
        <v>0</v>
      </c>
      <c r="BF14" s="113">
        <v>0</v>
      </c>
      <c r="BG14" s="113">
        <v>0</v>
      </c>
      <c r="BH14" s="113">
        <v>0</v>
      </c>
      <c r="BI14" s="113">
        <v>0</v>
      </c>
      <c r="BJ14" s="113">
        <v>0</v>
      </c>
      <c r="BK14" s="113">
        <v>0</v>
      </c>
      <c r="BL14" s="113">
        <v>0</v>
      </c>
      <c r="BM14" s="113">
        <v>0</v>
      </c>
      <c r="BN14" s="113">
        <v>0</v>
      </c>
      <c r="BO14" s="113">
        <v>0</v>
      </c>
      <c r="BP14" s="113">
        <v>0</v>
      </c>
      <c r="BQ14" s="113">
        <v>0</v>
      </c>
      <c r="BR14" s="113">
        <v>0</v>
      </c>
      <c r="BS14" s="113">
        <v>0</v>
      </c>
      <c r="BT14" s="113">
        <v>0</v>
      </c>
      <c r="BU14" s="113">
        <v>0</v>
      </c>
      <c r="BV14" s="113">
        <v>0</v>
      </c>
      <c r="BW14" s="113">
        <v>0</v>
      </c>
      <c r="BX14" s="113">
        <v>0</v>
      </c>
      <c r="BY14" s="113">
        <v>0</v>
      </c>
      <c r="BZ14" s="113">
        <v>0</v>
      </c>
      <c r="CA14" s="113">
        <v>0</v>
      </c>
      <c r="CB14" s="113">
        <v>0</v>
      </c>
      <c r="CC14" s="113">
        <v>0</v>
      </c>
      <c r="CD14" s="113">
        <v>0</v>
      </c>
      <c r="CE14" s="113">
        <v>0</v>
      </c>
      <c r="CF14" s="113">
        <v>0</v>
      </c>
      <c r="CG14" s="113">
        <v>0</v>
      </c>
      <c r="CH14" s="113">
        <v>0</v>
      </c>
      <c r="CI14" s="113">
        <v>0</v>
      </c>
      <c r="CJ14" s="113">
        <v>0</v>
      </c>
      <c r="CK14" s="113">
        <v>0</v>
      </c>
      <c r="CL14" s="113">
        <v>0</v>
      </c>
      <c r="CM14" s="113">
        <v>0</v>
      </c>
      <c r="CN14" s="113">
        <v>0</v>
      </c>
      <c r="CO14" s="113">
        <v>0</v>
      </c>
      <c r="CP14" s="113">
        <v>0</v>
      </c>
      <c r="CQ14" s="113">
        <v>0</v>
      </c>
      <c r="CR14" s="113">
        <v>0</v>
      </c>
      <c r="CS14" s="113">
        <v>0</v>
      </c>
      <c r="CT14" s="113">
        <v>0</v>
      </c>
      <c r="CU14" s="113">
        <v>0</v>
      </c>
      <c r="CV14" s="113">
        <v>0</v>
      </c>
      <c r="CW14" s="113">
        <v>0</v>
      </c>
      <c r="CX14" s="113">
        <v>0</v>
      </c>
      <c r="CY14" s="113">
        <v>0</v>
      </c>
      <c r="CZ14" s="113">
        <v>0</v>
      </c>
      <c r="DA14" s="113">
        <v>0</v>
      </c>
      <c r="DB14" s="113">
        <v>0</v>
      </c>
      <c r="DC14" s="113">
        <v>0</v>
      </c>
      <c r="DD14" s="113">
        <v>0</v>
      </c>
      <c r="DE14" s="113">
        <v>0</v>
      </c>
      <c r="DF14" s="113">
        <v>0</v>
      </c>
      <c r="DG14" s="113">
        <v>0</v>
      </c>
      <c r="DH14" s="113">
        <v>0</v>
      </c>
      <c r="DI14" s="113">
        <v>0</v>
      </c>
      <c r="DK14" s="112" t="s">
        <v>281</v>
      </c>
      <c r="DL14" s="113">
        <v>0</v>
      </c>
      <c r="DM14" s="113">
        <v>0</v>
      </c>
      <c r="DN14" s="113">
        <v>0</v>
      </c>
      <c r="DO14" s="113">
        <v>0</v>
      </c>
      <c r="DP14" s="113">
        <v>0</v>
      </c>
      <c r="DQ14" s="113">
        <v>0</v>
      </c>
      <c r="DR14" s="113">
        <v>0</v>
      </c>
      <c r="DS14" s="113">
        <v>0</v>
      </c>
      <c r="DT14" s="113">
        <v>0</v>
      </c>
      <c r="DU14" s="113">
        <v>0</v>
      </c>
      <c r="DV14" s="113">
        <v>0</v>
      </c>
      <c r="DW14" s="113">
        <v>0</v>
      </c>
      <c r="DX14" s="113">
        <v>0</v>
      </c>
      <c r="DY14" s="113">
        <v>0</v>
      </c>
      <c r="DZ14" s="113">
        <v>0</v>
      </c>
      <c r="EA14" s="113">
        <v>0</v>
      </c>
      <c r="EB14" s="113">
        <v>0</v>
      </c>
      <c r="EC14" s="113">
        <v>0</v>
      </c>
      <c r="ED14" s="113">
        <v>0</v>
      </c>
      <c r="EE14" s="113">
        <v>0</v>
      </c>
      <c r="EF14" s="113">
        <v>0</v>
      </c>
      <c r="EG14" s="113">
        <v>0</v>
      </c>
      <c r="EH14" s="113">
        <v>0</v>
      </c>
      <c r="EI14" s="113">
        <v>0</v>
      </c>
      <c r="EJ14" s="113">
        <v>0</v>
      </c>
      <c r="EK14" s="113">
        <v>0</v>
      </c>
      <c r="EL14" s="113">
        <v>0</v>
      </c>
      <c r="EM14" s="113">
        <v>0</v>
      </c>
      <c r="EN14" s="113">
        <v>0</v>
      </c>
      <c r="EO14" s="113">
        <v>0</v>
      </c>
      <c r="EP14" s="113">
        <v>0</v>
      </c>
      <c r="EQ14" s="113">
        <v>0</v>
      </c>
      <c r="ER14" s="113">
        <v>0</v>
      </c>
      <c r="ES14" s="113">
        <v>0</v>
      </c>
      <c r="ET14" s="113">
        <v>0</v>
      </c>
      <c r="EU14" s="113">
        <v>0</v>
      </c>
      <c r="EV14" s="113">
        <v>0</v>
      </c>
      <c r="EW14" s="113">
        <v>0</v>
      </c>
      <c r="EX14" s="113">
        <v>0</v>
      </c>
      <c r="EY14" s="113">
        <v>0</v>
      </c>
      <c r="EZ14" s="113">
        <v>0</v>
      </c>
      <c r="FA14" s="113">
        <v>0</v>
      </c>
      <c r="FB14" s="113">
        <v>0</v>
      </c>
      <c r="FC14" s="113">
        <v>0</v>
      </c>
      <c r="FD14" s="113">
        <v>0</v>
      </c>
      <c r="FE14" s="113">
        <v>0</v>
      </c>
      <c r="FF14" s="113">
        <v>0</v>
      </c>
      <c r="FG14" s="113">
        <v>0</v>
      </c>
      <c r="FH14" s="113">
        <v>0</v>
      </c>
      <c r="FI14" s="113">
        <v>0</v>
      </c>
      <c r="FJ14" s="113">
        <v>0</v>
      </c>
      <c r="FK14" s="113">
        <v>0</v>
      </c>
      <c r="FL14" s="113">
        <v>0</v>
      </c>
      <c r="FM14" s="113">
        <v>0</v>
      </c>
      <c r="FN14" s="113">
        <v>0</v>
      </c>
      <c r="FO14" s="113">
        <v>0</v>
      </c>
      <c r="FP14" s="113">
        <v>0</v>
      </c>
      <c r="FQ14" s="113">
        <v>0</v>
      </c>
      <c r="FR14" s="113">
        <v>0</v>
      </c>
      <c r="FS14" s="113">
        <v>0</v>
      </c>
      <c r="FT14" s="113">
        <v>0</v>
      </c>
      <c r="FU14" s="113">
        <v>0</v>
      </c>
      <c r="FV14" s="113">
        <v>0</v>
      </c>
      <c r="FW14" s="113">
        <v>0</v>
      </c>
      <c r="FX14" s="113">
        <v>0</v>
      </c>
      <c r="FY14" s="113">
        <v>0</v>
      </c>
      <c r="FZ14" s="113">
        <v>0</v>
      </c>
      <c r="GA14" s="113">
        <v>0</v>
      </c>
      <c r="GB14" s="113">
        <v>0</v>
      </c>
      <c r="GC14" s="113">
        <v>0</v>
      </c>
      <c r="GD14" s="113">
        <v>0</v>
      </c>
      <c r="GE14" s="113">
        <v>0</v>
      </c>
      <c r="GF14" s="113">
        <v>0</v>
      </c>
      <c r="GG14" s="113">
        <v>0</v>
      </c>
      <c r="GH14" s="113">
        <v>0</v>
      </c>
      <c r="GI14" s="113">
        <v>0</v>
      </c>
      <c r="GJ14" s="113">
        <v>0</v>
      </c>
      <c r="GK14" s="113">
        <v>0</v>
      </c>
      <c r="GL14" s="113">
        <v>0</v>
      </c>
      <c r="GM14" s="113">
        <v>0</v>
      </c>
      <c r="GN14" s="113">
        <v>0</v>
      </c>
      <c r="GO14" s="113">
        <v>0</v>
      </c>
      <c r="GP14" s="113">
        <v>0</v>
      </c>
      <c r="GQ14" s="113">
        <v>0</v>
      </c>
      <c r="GR14" s="113">
        <v>0</v>
      </c>
      <c r="GS14" s="113">
        <v>0</v>
      </c>
      <c r="GT14" s="113">
        <v>0</v>
      </c>
      <c r="GU14" s="113">
        <v>0</v>
      </c>
      <c r="GV14" s="113">
        <v>0</v>
      </c>
      <c r="GW14" s="113">
        <v>0</v>
      </c>
      <c r="GX14" s="113">
        <v>0</v>
      </c>
      <c r="GY14" s="113">
        <v>0</v>
      </c>
      <c r="GZ14" s="113">
        <v>0</v>
      </c>
      <c r="HA14" s="113">
        <v>0</v>
      </c>
      <c r="HB14" s="113">
        <v>0</v>
      </c>
      <c r="HC14" s="113">
        <v>0</v>
      </c>
      <c r="HD14" s="113">
        <v>0</v>
      </c>
      <c r="HE14" s="113">
        <v>0</v>
      </c>
      <c r="HF14" s="113">
        <v>0</v>
      </c>
      <c r="HG14" s="113">
        <v>0</v>
      </c>
      <c r="HH14" s="113">
        <v>0</v>
      </c>
    </row>
    <row r="15" spans="2:2629" s="61" customFormat="1" ht="12" x14ac:dyDescent="0.3">
      <c r="B15" s="112" t="s">
        <v>282</v>
      </c>
      <c r="C15" s="113">
        <v>0</v>
      </c>
      <c r="D15" s="113">
        <v>0</v>
      </c>
      <c r="E15" s="113">
        <v>0</v>
      </c>
      <c r="F15" s="113">
        <v>0</v>
      </c>
      <c r="G15" s="113">
        <v>0</v>
      </c>
      <c r="H15" s="113">
        <v>0</v>
      </c>
      <c r="I15" s="113">
        <v>1</v>
      </c>
      <c r="J15" s="114">
        <v>0</v>
      </c>
      <c r="L15" s="112" t="s">
        <v>282</v>
      </c>
      <c r="M15" s="113">
        <v>0</v>
      </c>
      <c r="N15" s="113">
        <v>0</v>
      </c>
      <c r="O15" s="113">
        <v>0</v>
      </c>
      <c r="P15" s="113">
        <v>0</v>
      </c>
      <c r="Q15" s="113">
        <v>0</v>
      </c>
      <c r="R15" s="113">
        <v>0</v>
      </c>
      <c r="S15" s="113">
        <v>0</v>
      </c>
      <c r="T15" s="113">
        <v>0</v>
      </c>
      <c r="U15" s="113">
        <v>0</v>
      </c>
      <c r="V15" s="113">
        <v>0</v>
      </c>
      <c r="W15" s="113">
        <v>0</v>
      </c>
      <c r="X15" s="113">
        <v>0</v>
      </c>
      <c r="Y15" s="113">
        <v>0</v>
      </c>
      <c r="Z15" s="113">
        <v>0</v>
      </c>
      <c r="AA15" s="113">
        <v>0</v>
      </c>
      <c r="AB15" s="113">
        <v>0</v>
      </c>
      <c r="AC15" s="113">
        <v>0</v>
      </c>
      <c r="AD15" s="113">
        <v>0</v>
      </c>
      <c r="AE15" s="113">
        <v>0</v>
      </c>
      <c r="AF15" s="113">
        <v>0</v>
      </c>
      <c r="AG15" s="113">
        <v>0</v>
      </c>
      <c r="AH15" s="113">
        <v>0</v>
      </c>
      <c r="AI15" s="113">
        <v>0</v>
      </c>
      <c r="AJ15" s="113">
        <v>0</v>
      </c>
      <c r="AK15" s="113">
        <v>0</v>
      </c>
      <c r="AL15" s="113">
        <v>0</v>
      </c>
      <c r="AM15" s="113">
        <v>0</v>
      </c>
      <c r="AN15" s="113">
        <v>0</v>
      </c>
      <c r="AO15" s="113">
        <v>0</v>
      </c>
      <c r="AP15" s="113">
        <v>0</v>
      </c>
      <c r="AQ15" s="113">
        <v>0</v>
      </c>
      <c r="AR15" s="113">
        <v>0</v>
      </c>
      <c r="AS15" s="113">
        <v>0</v>
      </c>
      <c r="AT15" s="113">
        <v>0</v>
      </c>
      <c r="AU15" s="113">
        <v>0</v>
      </c>
      <c r="AV15" s="113">
        <v>0</v>
      </c>
      <c r="AW15" s="113">
        <v>0</v>
      </c>
      <c r="AX15" s="113">
        <v>0</v>
      </c>
      <c r="AY15" s="113">
        <v>0</v>
      </c>
      <c r="AZ15" s="113">
        <v>0</v>
      </c>
      <c r="BA15" s="113">
        <v>0</v>
      </c>
      <c r="BB15" s="113">
        <v>0</v>
      </c>
      <c r="BC15" s="113">
        <v>0</v>
      </c>
      <c r="BD15" s="113">
        <v>0</v>
      </c>
      <c r="BE15" s="113">
        <v>0</v>
      </c>
      <c r="BF15" s="113">
        <v>0</v>
      </c>
      <c r="BG15" s="113">
        <v>0</v>
      </c>
      <c r="BH15" s="113">
        <v>0</v>
      </c>
      <c r="BI15" s="113">
        <v>0</v>
      </c>
      <c r="BJ15" s="113">
        <v>0</v>
      </c>
      <c r="BK15" s="113">
        <v>0</v>
      </c>
      <c r="BL15" s="113">
        <v>0</v>
      </c>
      <c r="BM15" s="113">
        <v>0</v>
      </c>
      <c r="BN15" s="113">
        <v>0</v>
      </c>
      <c r="BO15" s="113">
        <v>0</v>
      </c>
      <c r="BP15" s="113">
        <v>0</v>
      </c>
      <c r="BQ15" s="113">
        <v>0</v>
      </c>
      <c r="BR15" s="113">
        <v>0</v>
      </c>
      <c r="BS15" s="113">
        <v>0</v>
      </c>
      <c r="BT15" s="113">
        <v>0</v>
      </c>
      <c r="BU15" s="113">
        <v>0</v>
      </c>
      <c r="BV15" s="113">
        <v>0</v>
      </c>
      <c r="BW15" s="113">
        <v>0</v>
      </c>
      <c r="BX15" s="113">
        <v>0</v>
      </c>
      <c r="BY15" s="113">
        <v>0</v>
      </c>
      <c r="BZ15" s="113">
        <v>0</v>
      </c>
      <c r="CA15" s="113">
        <v>0</v>
      </c>
      <c r="CB15" s="113">
        <v>0</v>
      </c>
      <c r="CC15" s="113">
        <v>0</v>
      </c>
      <c r="CD15" s="113">
        <v>0</v>
      </c>
      <c r="CE15" s="113">
        <v>0</v>
      </c>
      <c r="CF15" s="113">
        <v>0</v>
      </c>
      <c r="CG15" s="113">
        <v>0</v>
      </c>
      <c r="CH15" s="113">
        <v>0</v>
      </c>
      <c r="CI15" s="113">
        <v>0</v>
      </c>
      <c r="CJ15" s="113">
        <v>0</v>
      </c>
      <c r="CK15" s="113">
        <v>0</v>
      </c>
      <c r="CL15" s="113">
        <v>0</v>
      </c>
      <c r="CM15" s="113">
        <v>0</v>
      </c>
      <c r="CN15" s="113">
        <v>0</v>
      </c>
      <c r="CO15" s="113">
        <v>0</v>
      </c>
      <c r="CP15" s="113">
        <v>0</v>
      </c>
      <c r="CQ15" s="113">
        <v>0</v>
      </c>
      <c r="CR15" s="113">
        <v>0</v>
      </c>
      <c r="CS15" s="113">
        <v>0</v>
      </c>
      <c r="CT15" s="113">
        <v>0</v>
      </c>
      <c r="CU15" s="113">
        <v>0</v>
      </c>
      <c r="CV15" s="113">
        <v>0</v>
      </c>
      <c r="CW15" s="113">
        <v>0</v>
      </c>
      <c r="CX15" s="113">
        <v>0</v>
      </c>
      <c r="CY15" s="113">
        <v>0</v>
      </c>
      <c r="CZ15" s="113">
        <v>0</v>
      </c>
      <c r="DA15" s="113">
        <v>0</v>
      </c>
      <c r="DB15" s="113">
        <v>0</v>
      </c>
      <c r="DC15" s="113">
        <v>0</v>
      </c>
      <c r="DD15" s="113">
        <v>0</v>
      </c>
      <c r="DE15" s="113">
        <v>0</v>
      </c>
      <c r="DF15" s="113">
        <v>0</v>
      </c>
      <c r="DG15" s="113">
        <v>0</v>
      </c>
      <c r="DH15" s="113">
        <v>0</v>
      </c>
      <c r="DI15" s="113">
        <v>0</v>
      </c>
      <c r="DK15" s="112" t="s">
        <v>282</v>
      </c>
      <c r="DL15" s="113">
        <v>0</v>
      </c>
      <c r="DM15" s="113">
        <v>0</v>
      </c>
      <c r="DN15" s="113">
        <v>0</v>
      </c>
      <c r="DO15" s="113">
        <v>0</v>
      </c>
      <c r="DP15" s="113">
        <v>0</v>
      </c>
      <c r="DQ15" s="113">
        <v>0</v>
      </c>
      <c r="DR15" s="113">
        <v>0</v>
      </c>
      <c r="DS15" s="113">
        <v>0</v>
      </c>
      <c r="DT15" s="113">
        <v>0</v>
      </c>
      <c r="DU15" s="113">
        <v>0</v>
      </c>
      <c r="DV15" s="113">
        <v>0</v>
      </c>
      <c r="DW15" s="113">
        <v>0</v>
      </c>
      <c r="DX15" s="113">
        <v>0</v>
      </c>
      <c r="DY15" s="113">
        <v>0</v>
      </c>
      <c r="DZ15" s="113">
        <v>0</v>
      </c>
      <c r="EA15" s="113">
        <v>0</v>
      </c>
      <c r="EB15" s="113">
        <v>0</v>
      </c>
      <c r="EC15" s="113">
        <v>0</v>
      </c>
      <c r="ED15" s="113">
        <v>0</v>
      </c>
      <c r="EE15" s="113">
        <v>0</v>
      </c>
      <c r="EF15" s="113">
        <v>0</v>
      </c>
      <c r="EG15" s="113">
        <v>0</v>
      </c>
      <c r="EH15" s="113">
        <v>0</v>
      </c>
      <c r="EI15" s="113">
        <v>0</v>
      </c>
      <c r="EJ15" s="113">
        <v>0</v>
      </c>
      <c r="EK15" s="113">
        <v>0</v>
      </c>
      <c r="EL15" s="113">
        <v>0</v>
      </c>
      <c r="EM15" s="113">
        <v>0</v>
      </c>
      <c r="EN15" s="113">
        <v>0</v>
      </c>
      <c r="EO15" s="113">
        <v>0</v>
      </c>
      <c r="EP15" s="113">
        <v>0</v>
      </c>
      <c r="EQ15" s="113">
        <v>0</v>
      </c>
      <c r="ER15" s="113">
        <v>0</v>
      </c>
      <c r="ES15" s="113">
        <v>0</v>
      </c>
      <c r="ET15" s="113">
        <v>0</v>
      </c>
      <c r="EU15" s="113">
        <v>0</v>
      </c>
      <c r="EV15" s="113">
        <v>0</v>
      </c>
      <c r="EW15" s="113">
        <v>0</v>
      </c>
      <c r="EX15" s="113">
        <v>0</v>
      </c>
      <c r="EY15" s="113">
        <v>0</v>
      </c>
      <c r="EZ15" s="113">
        <v>0</v>
      </c>
      <c r="FA15" s="113">
        <v>0</v>
      </c>
      <c r="FB15" s="113">
        <v>0</v>
      </c>
      <c r="FC15" s="113">
        <v>0</v>
      </c>
      <c r="FD15" s="113">
        <v>0</v>
      </c>
      <c r="FE15" s="113">
        <v>0</v>
      </c>
      <c r="FF15" s="113">
        <v>0</v>
      </c>
      <c r="FG15" s="113">
        <v>0</v>
      </c>
      <c r="FH15" s="113">
        <v>0</v>
      </c>
      <c r="FI15" s="113">
        <v>0</v>
      </c>
      <c r="FJ15" s="113">
        <v>0</v>
      </c>
      <c r="FK15" s="113">
        <v>0</v>
      </c>
      <c r="FL15" s="113">
        <v>0</v>
      </c>
      <c r="FM15" s="113">
        <v>0</v>
      </c>
      <c r="FN15" s="113">
        <v>0</v>
      </c>
      <c r="FO15" s="113">
        <v>0</v>
      </c>
      <c r="FP15" s="113">
        <v>0</v>
      </c>
      <c r="FQ15" s="113">
        <v>0</v>
      </c>
      <c r="FR15" s="113">
        <v>0</v>
      </c>
      <c r="FS15" s="113">
        <v>0</v>
      </c>
      <c r="FT15" s="113">
        <v>0</v>
      </c>
      <c r="FU15" s="113">
        <v>0</v>
      </c>
      <c r="FV15" s="113">
        <v>0</v>
      </c>
      <c r="FW15" s="113">
        <v>0</v>
      </c>
      <c r="FX15" s="113">
        <v>0</v>
      </c>
      <c r="FY15" s="113">
        <v>0</v>
      </c>
      <c r="FZ15" s="113">
        <v>0</v>
      </c>
      <c r="GA15" s="113">
        <v>0</v>
      </c>
      <c r="GB15" s="113">
        <v>0</v>
      </c>
      <c r="GC15" s="113">
        <v>0</v>
      </c>
      <c r="GD15" s="113">
        <v>0</v>
      </c>
      <c r="GE15" s="113">
        <v>0</v>
      </c>
      <c r="GF15" s="113">
        <v>0</v>
      </c>
      <c r="GG15" s="113">
        <v>0</v>
      </c>
      <c r="GH15" s="113">
        <v>0</v>
      </c>
      <c r="GI15" s="113">
        <v>0</v>
      </c>
      <c r="GJ15" s="113">
        <v>0</v>
      </c>
      <c r="GK15" s="113">
        <v>0</v>
      </c>
      <c r="GL15" s="113">
        <v>0</v>
      </c>
      <c r="GM15" s="113">
        <v>0</v>
      </c>
      <c r="GN15" s="113">
        <v>0</v>
      </c>
      <c r="GO15" s="113">
        <v>0</v>
      </c>
      <c r="GP15" s="113">
        <v>0</v>
      </c>
      <c r="GQ15" s="113">
        <v>0</v>
      </c>
      <c r="GR15" s="113">
        <v>0</v>
      </c>
      <c r="GS15" s="113">
        <v>0</v>
      </c>
      <c r="GT15" s="113">
        <v>0</v>
      </c>
      <c r="GU15" s="113">
        <v>0</v>
      </c>
      <c r="GV15" s="113">
        <v>0</v>
      </c>
      <c r="GW15" s="113">
        <v>0</v>
      </c>
      <c r="GX15" s="113">
        <v>0</v>
      </c>
      <c r="GY15" s="113">
        <v>0</v>
      </c>
      <c r="GZ15" s="113">
        <v>0</v>
      </c>
      <c r="HA15" s="113">
        <v>0</v>
      </c>
      <c r="HB15" s="113">
        <v>0</v>
      </c>
      <c r="HC15" s="113">
        <v>0</v>
      </c>
      <c r="HD15" s="113">
        <v>0</v>
      </c>
      <c r="HE15" s="113">
        <v>0</v>
      </c>
      <c r="HF15" s="113">
        <v>0</v>
      </c>
      <c r="HG15" s="113">
        <v>0</v>
      </c>
      <c r="HH15" s="113">
        <v>0</v>
      </c>
    </row>
    <row r="16" spans="2:2629" s="61" customFormat="1" ht="12" x14ac:dyDescent="0.3"/>
    <row r="17" spans="2:216" s="61" customFormat="1" ht="12" x14ac:dyDescent="0.3"/>
    <row r="18" spans="2:216" s="61" customFormat="1" ht="12" x14ac:dyDescent="0.3">
      <c r="B18" s="61" t="s">
        <v>283</v>
      </c>
      <c r="L18" s="61" t="s">
        <v>284</v>
      </c>
      <c r="DK18" s="61" t="s">
        <v>284</v>
      </c>
    </row>
    <row r="19" spans="2:216" s="61" customFormat="1" ht="12" x14ac:dyDescent="0.3">
      <c r="B19" s="110" t="s">
        <v>275</v>
      </c>
      <c r="C19" s="111" t="s">
        <v>276</v>
      </c>
      <c r="D19" s="111" t="s">
        <v>277</v>
      </c>
      <c r="E19" s="111" t="s">
        <v>278</v>
      </c>
      <c r="F19" s="111" t="s">
        <v>279</v>
      </c>
      <c r="G19" s="110" t="s">
        <v>280</v>
      </c>
      <c r="H19" s="111" t="s">
        <v>281</v>
      </c>
      <c r="I19" s="111" t="s">
        <v>282</v>
      </c>
      <c r="J19" s="111" t="s">
        <v>98</v>
      </c>
      <c r="L19" s="110" t="s">
        <v>275</v>
      </c>
      <c r="M19" s="115">
        <v>0</v>
      </c>
      <c r="N19" s="115">
        <v>1</v>
      </c>
      <c r="O19" s="115">
        <v>2</v>
      </c>
      <c r="P19" s="115">
        <v>3</v>
      </c>
      <c r="Q19" s="115">
        <v>4</v>
      </c>
      <c r="R19" s="115">
        <v>5</v>
      </c>
      <c r="S19" s="115">
        <v>6</v>
      </c>
      <c r="T19" s="115">
        <v>7</v>
      </c>
      <c r="U19" s="115">
        <v>8</v>
      </c>
      <c r="V19" s="115">
        <v>9</v>
      </c>
      <c r="W19" s="115">
        <v>10</v>
      </c>
      <c r="X19" s="115">
        <v>11</v>
      </c>
      <c r="Y19" s="115">
        <v>12</v>
      </c>
      <c r="Z19" s="115">
        <v>13</v>
      </c>
      <c r="AA19" s="115">
        <v>14</v>
      </c>
      <c r="AB19" s="115">
        <v>15</v>
      </c>
      <c r="AC19" s="115">
        <v>16</v>
      </c>
      <c r="AD19" s="115">
        <v>17</v>
      </c>
      <c r="AE19" s="115">
        <v>18</v>
      </c>
      <c r="AF19" s="115">
        <v>19</v>
      </c>
      <c r="AG19" s="115">
        <v>20</v>
      </c>
      <c r="AH19" s="115">
        <v>21</v>
      </c>
      <c r="AI19" s="115">
        <v>22</v>
      </c>
      <c r="AJ19" s="115">
        <v>23</v>
      </c>
      <c r="AK19" s="115">
        <v>24</v>
      </c>
      <c r="AL19" s="115">
        <v>25</v>
      </c>
      <c r="AM19" s="115">
        <v>26</v>
      </c>
      <c r="AN19" s="115">
        <v>27</v>
      </c>
      <c r="AO19" s="115">
        <v>28</v>
      </c>
      <c r="AP19" s="115">
        <v>29</v>
      </c>
      <c r="AQ19" s="115">
        <v>30</v>
      </c>
      <c r="AR19" s="115">
        <v>31</v>
      </c>
      <c r="AS19" s="115">
        <v>32</v>
      </c>
      <c r="AT19" s="115">
        <v>33</v>
      </c>
      <c r="AU19" s="115">
        <v>34</v>
      </c>
      <c r="AV19" s="115">
        <v>35</v>
      </c>
      <c r="AW19" s="115">
        <v>36</v>
      </c>
      <c r="AX19" s="115">
        <v>37</v>
      </c>
      <c r="AY19" s="115">
        <v>38</v>
      </c>
      <c r="AZ19" s="115">
        <v>39</v>
      </c>
      <c r="BA19" s="115">
        <v>40</v>
      </c>
      <c r="BB19" s="115">
        <v>41</v>
      </c>
      <c r="BC19" s="115">
        <v>42</v>
      </c>
      <c r="BD19" s="115">
        <v>43</v>
      </c>
      <c r="BE19" s="115">
        <v>44</v>
      </c>
      <c r="BF19" s="115">
        <v>45</v>
      </c>
      <c r="BG19" s="115">
        <v>46</v>
      </c>
      <c r="BH19" s="115">
        <v>47</v>
      </c>
      <c r="BI19" s="115">
        <v>48</v>
      </c>
      <c r="BJ19" s="115">
        <v>49</v>
      </c>
      <c r="BK19" s="115">
        <v>50</v>
      </c>
      <c r="BL19" s="115">
        <v>51</v>
      </c>
      <c r="BM19" s="115">
        <v>52</v>
      </c>
      <c r="BN19" s="115">
        <v>53</v>
      </c>
      <c r="BO19" s="115">
        <v>54</v>
      </c>
      <c r="BP19" s="115">
        <v>55</v>
      </c>
      <c r="BQ19" s="115">
        <v>56</v>
      </c>
      <c r="BR19" s="115">
        <v>57</v>
      </c>
      <c r="BS19" s="115">
        <v>58</v>
      </c>
      <c r="BT19" s="115">
        <v>59</v>
      </c>
      <c r="BU19" s="115">
        <v>60</v>
      </c>
      <c r="BV19" s="115">
        <v>61</v>
      </c>
      <c r="BW19" s="115">
        <v>62</v>
      </c>
      <c r="BX19" s="115">
        <v>63</v>
      </c>
      <c r="BY19" s="115">
        <v>64</v>
      </c>
      <c r="BZ19" s="115">
        <v>65</v>
      </c>
      <c r="CA19" s="115">
        <v>66</v>
      </c>
      <c r="CB19" s="115">
        <v>67</v>
      </c>
      <c r="CC19" s="115">
        <v>68</v>
      </c>
      <c r="CD19" s="115">
        <v>69</v>
      </c>
      <c r="CE19" s="115">
        <v>70</v>
      </c>
      <c r="CF19" s="115">
        <v>71</v>
      </c>
      <c r="CG19" s="115">
        <v>72</v>
      </c>
      <c r="CH19" s="115">
        <v>73</v>
      </c>
      <c r="CI19" s="115">
        <v>74</v>
      </c>
      <c r="CJ19" s="115">
        <v>75</v>
      </c>
      <c r="CK19" s="115">
        <v>76</v>
      </c>
      <c r="CL19" s="115">
        <v>77</v>
      </c>
      <c r="CM19" s="115">
        <v>78</v>
      </c>
      <c r="CN19" s="115">
        <v>79</v>
      </c>
      <c r="CO19" s="115">
        <v>80</v>
      </c>
      <c r="CP19" s="115">
        <v>81</v>
      </c>
      <c r="CQ19" s="115">
        <v>82</v>
      </c>
      <c r="CR19" s="115">
        <v>83</v>
      </c>
      <c r="CS19" s="115">
        <v>84</v>
      </c>
      <c r="CT19" s="115">
        <v>85</v>
      </c>
      <c r="CU19" s="115">
        <v>86</v>
      </c>
      <c r="CV19" s="115">
        <v>87</v>
      </c>
      <c r="CW19" s="115">
        <v>88</v>
      </c>
      <c r="CX19" s="115">
        <v>89</v>
      </c>
      <c r="CY19" s="115">
        <v>90</v>
      </c>
      <c r="CZ19" s="115">
        <v>91</v>
      </c>
      <c r="DA19" s="115">
        <v>92</v>
      </c>
      <c r="DB19" s="115">
        <v>93</v>
      </c>
      <c r="DC19" s="115">
        <v>94</v>
      </c>
      <c r="DD19" s="115">
        <v>95</v>
      </c>
      <c r="DE19" s="115">
        <v>96</v>
      </c>
      <c r="DF19" s="115">
        <v>97</v>
      </c>
      <c r="DG19" s="115">
        <v>98</v>
      </c>
      <c r="DH19" s="115">
        <v>99</v>
      </c>
      <c r="DI19" s="115">
        <v>100</v>
      </c>
      <c r="DK19" s="110" t="s">
        <v>275</v>
      </c>
      <c r="DL19" s="115">
        <v>0</v>
      </c>
      <c r="DM19" s="115">
        <v>1</v>
      </c>
      <c r="DN19" s="115">
        <v>2</v>
      </c>
      <c r="DO19" s="115">
        <v>3</v>
      </c>
      <c r="DP19" s="115">
        <v>4</v>
      </c>
      <c r="DQ19" s="115">
        <v>5</v>
      </c>
      <c r="DR19" s="115">
        <v>6</v>
      </c>
      <c r="DS19" s="115">
        <v>7</v>
      </c>
      <c r="DT19" s="115">
        <v>8</v>
      </c>
      <c r="DU19" s="115">
        <v>9</v>
      </c>
      <c r="DV19" s="115">
        <v>10</v>
      </c>
      <c r="DW19" s="115">
        <v>11</v>
      </c>
      <c r="DX19" s="115">
        <v>12</v>
      </c>
      <c r="DY19" s="115">
        <v>13</v>
      </c>
      <c r="DZ19" s="115">
        <v>14</v>
      </c>
      <c r="EA19" s="115">
        <v>15</v>
      </c>
      <c r="EB19" s="115">
        <v>16</v>
      </c>
      <c r="EC19" s="115">
        <v>17</v>
      </c>
      <c r="ED19" s="115">
        <v>18</v>
      </c>
      <c r="EE19" s="115">
        <v>19</v>
      </c>
      <c r="EF19" s="115">
        <v>20</v>
      </c>
      <c r="EG19" s="115">
        <v>21</v>
      </c>
      <c r="EH19" s="115">
        <v>22</v>
      </c>
      <c r="EI19" s="115">
        <v>23</v>
      </c>
      <c r="EJ19" s="115">
        <v>24</v>
      </c>
      <c r="EK19" s="115">
        <v>25</v>
      </c>
      <c r="EL19" s="115">
        <v>26</v>
      </c>
      <c r="EM19" s="115">
        <v>27</v>
      </c>
      <c r="EN19" s="115">
        <v>28</v>
      </c>
      <c r="EO19" s="115">
        <v>29</v>
      </c>
      <c r="EP19" s="115">
        <v>30</v>
      </c>
      <c r="EQ19" s="115">
        <v>31</v>
      </c>
      <c r="ER19" s="115">
        <v>32</v>
      </c>
      <c r="ES19" s="115">
        <v>33</v>
      </c>
      <c r="ET19" s="115">
        <v>34</v>
      </c>
      <c r="EU19" s="115">
        <v>35</v>
      </c>
      <c r="EV19" s="115">
        <v>36</v>
      </c>
      <c r="EW19" s="115">
        <v>37</v>
      </c>
      <c r="EX19" s="115">
        <v>38</v>
      </c>
      <c r="EY19" s="115">
        <v>39</v>
      </c>
      <c r="EZ19" s="115">
        <v>40</v>
      </c>
      <c r="FA19" s="115">
        <v>41</v>
      </c>
      <c r="FB19" s="115">
        <v>42</v>
      </c>
      <c r="FC19" s="115">
        <v>43</v>
      </c>
      <c r="FD19" s="115">
        <v>44</v>
      </c>
      <c r="FE19" s="115">
        <v>45</v>
      </c>
      <c r="FF19" s="115">
        <v>46</v>
      </c>
      <c r="FG19" s="115">
        <v>47</v>
      </c>
      <c r="FH19" s="115">
        <v>48</v>
      </c>
      <c r="FI19" s="115">
        <v>49</v>
      </c>
      <c r="FJ19" s="115">
        <v>50</v>
      </c>
      <c r="FK19" s="115">
        <v>51</v>
      </c>
      <c r="FL19" s="115">
        <v>52</v>
      </c>
      <c r="FM19" s="115">
        <v>53</v>
      </c>
      <c r="FN19" s="115">
        <v>54</v>
      </c>
      <c r="FO19" s="115">
        <v>55</v>
      </c>
      <c r="FP19" s="115">
        <v>56</v>
      </c>
      <c r="FQ19" s="115">
        <v>57</v>
      </c>
      <c r="FR19" s="115">
        <v>58</v>
      </c>
      <c r="FS19" s="115">
        <v>59</v>
      </c>
      <c r="FT19" s="115">
        <v>60</v>
      </c>
      <c r="FU19" s="115">
        <v>61</v>
      </c>
      <c r="FV19" s="115">
        <v>62</v>
      </c>
      <c r="FW19" s="115">
        <v>63</v>
      </c>
      <c r="FX19" s="115">
        <v>64</v>
      </c>
      <c r="FY19" s="115">
        <v>65</v>
      </c>
      <c r="FZ19" s="115">
        <v>66</v>
      </c>
      <c r="GA19" s="115">
        <v>67</v>
      </c>
      <c r="GB19" s="115">
        <v>68</v>
      </c>
      <c r="GC19" s="115">
        <v>69</v>
      </c>
      <c r="GD19" s="115">
        <v>70</v>
      </c>
      <c r="GE19" s="115">
        <v>71</v>
      </c>
      <c r="GF19" s="115">
        <v>72</v>
      </c>
      <c r="GG19" s="115">
        <v>73</v>
      </c>
      <c r="GH19" s="115">
        <v>74</v>
      </c>
      <c r="GI19" s="115">
        <v>75</v>
      </c>
      <c r="GJ19" s="115">
        <v>76</v>
      </c>
      <c r="GK19" s="115">
        <v>77</v>
      </c>
      <c r="GL19" s="115">
        <v>78</v>
      </c>
      <c r="GM19" s="115">
        <v>79</v>
      </c>
      <c r="GN19" s="115">
        <v>80</v>
      </c>
      <c r="GO19" s="115">
        <v>81</v>
      </c>
      <c r="GP19" s="115">
        <v>82</v>
      </c>
      <c r="GQ19" s="115">
        <v>83</v>
      </c>
      <c r="GR19" s="115">
        <v>84</v>
      </c>
      <c r="GS19" s="115">
        <v>85</v>
      </c>
      <c r="GT19" s="115">
        <v>86</v>
      </c>
      <c r="GU19" s="115">
        <v>87</v>
      </c>
      <c r="GV19" s="115">
        <v>88</v>
      </c>
      <c r="GW19" s="115">
        <v>89</v>
      </c>
      <c r="GX19" s="115">
        <v>90</v>
      </c>
      <c r="GY19" s="115">
        <v>91</v>
      </c>
      <c r="GZ19" s="115">
        <v>92</v>
      </c>
      <c r="HA19" s="115">
        <v>93</v>
      </c>
      <c r="HB19" s="115">
        <v>94</v>
      </c>
      <c r="HC19" s="115">
        <v>95</v>
      </c>
      <c r="HD19" s="115">
        <v>96</v>
      </c>
      <c r="HE19" s="115">
        <v>97</v>
      </c>
      <c r="HF19" s="115">
        <v>98</v>
      </c>
      <c r="HG19" s="115">
        <v>99</v>
      </c>
      <c r="HH19" s="115">
        <v>100</v>
      </c>
    </row>
    <row r="20" spans="2:216" s="61" customFormat="1" ht="12" x14ac:dyDescent="0.3">
      <c r="B20" s="112" t="s">
        <v>276</v>
      </c>
      <c r="C20" s="113">
        <v>1</v>
      </c>
      <c r="D20" s="113">
        <v>0</v>
      </c>
      <c r="E20" s="113">
        <v>0</v>
      </c>
      <c r="F20" s="113">
        <v>0</v>
      </c>
      <c r="G20" s="113">
        <v>0</v>
      </c>
      <c r="H20" s="113">
        <v>0</v>
      </c>
      <c r="I20" s="113">
        <v>0</v>
      </c>
      <c r="J20" s="113">
        <v>0</v>
      </c>
      <c r="L20" s="112" t="s">
        <v>276</v>
      </c>
      <c r="M20" s="113">
        <v>0</v>
      </c>
      <c r="N20" s="113">
        <v>0</v>
      </c>
      <c r="O20" s="113">
        <v>0</v>
      </c>
      <c r="P20" s="113">
        <v>0</v>
      </c>
      <c r="Q20" s="113">
        <v>0</v>
      </c>
      <c r="R20" s="113">
        <v>0</v>
      </c>
      <c r="S20" s="113">
        <v>0</v>
      </c>
      <c r="T20" s="113">
        <v>0</v>
      </c>
      <c r="U20" s="113">
        <v>0</v>
      </c>
      <c r="V20" s="113">
        <v>0</v>
      </c>
      <c r="W20" s="113">
        <v>0</v>
      </c>
      <c r="X20" s="113">
        <v>0</v>
      </c>
      <c r="Y20" s="113">
        <v>0</v>
      </c>
      <c r="Z20" s="113">
        <v>0</v>
      </c>
      <c r="AA20" s="113">
        <v>0</v>
      </c>
      <c r="AB20" s="113">
        <v>0</v>
      </c>
      <c r="AC20" s="113">
        <v>0</v>
      </c>
      <c r="AD20" s="113">
        <v>0</v>
      </c>
      <c r="AE20" s="113">
        <v>0</v>
      </c>
      <c r="AF20" s="113">
        <v>0</v>
      </c>
      <c r="AG20" s="113">
        <v>0</v>
      </c>
      <c r="AH20" s="113">
        <v>0</v>
      </c>
      <c r="AI20" s="113">
        <v>0</v>
      </c>
      <c r="AJ20" s="113">
        <v>0</v>
      </c>
      <c r="AK20" s="113">
        <v>0</v>
      </c>
      <c r="AL20" s="113">
        <v>0</v>
      </c>
      <c r="AM20" s="113">
        <v>0</v>
      </c>
      <c r="AN20" s="113">
        <v>0</v>
      </c>
      <c r="AO20" s="113">
        <v>0</v>
      </c>
      <c r="AP20" s="113">
        <v>0</v>
      </c>
      <c r="AQ20" s="113">
        <v>0</v>
      </c>
      <c r="AR20" s="113">
        <v>0</v>
      </c>
      <c r="AS20" s="113">
        <v>0</v>
      </c>
      <c r="AT20" s="113">
        <v>0</v>
      </c>
      <c r="AU20" s="113">
        <v>0</v>
      </c>
      <c r="AV20" s="113">
        <v>0</v>
      </c>
      <c r="AW20" s="113">
        <v>0</v>
      </c>
      <c r="AX20" s="113">
        <v>0</v>
      </c>
      <c r="AY20" s="113">
        <v>0</v>
      </c>
      <c r="AZ20" s="113">
        <v>0</v>
      </c>
      <c r="BA20" s="113">
        <v>0</v>
      </c>
      <c r="BB20" s="113">
        <v>0</v>
      </c>
      <c r="BC20" s="113">
        <v>0</v>
      </c>
      <c r="BD20" s="113">
        <v>0</v>
      </c>
      <c r="BE20" s="113">
        <v>0</v>
      </c>
      <c r="BF20" s="113">
        <v>0</v>
      </c>
      <c r="BG20" s="113">
        <v>0</v>
      </c>
      <c r="BH20" s="113">
        <v>0</v>
      </c>
      <c r="BI20" s="113">
        <v>0</v>
      </c>
      <c r="BJ20" s="113">
        <v>0</v>
      </c>
      <c r="BK20" s="113">
        <v>0</v>
      </c>
      <c r="BL20" s="113">
        <v>0</v>
      </c>
      <c r="BM20" s="113">
        <v>0</v>
      </c>
      <c r="BN20" s="113">
        <v>0</v>
      </c>
      <c r="BO20" s="113">
        <v>0</v>
      </c>
      <c r="BP20" s="113">
        <v>0</v>
      </c>
      <c r="BQ20" s="113">
        <v>0</v>
      </c>
      <c r="BR20" s="113">
        <v>0</v>
      </c>
      <c r="BS20" s="113">
        <v>0</v>
      </c>
      <c r="BT20" s="113">
        <v>0</v>
      </c>
      <c r="BU20" s="113">
        <v>0</v>
      </c>
      <c r="BV20" s="113">
        <v>0</v>
      </c>
      <c r="BW20" s="113">
        <v>0</v>
      </c>
      <c r="BX20" s="113">
        <v>0</v>
      </c>
      <c r="BY20" s="113">
        <v>0</v>
      </c>
      <c r="BZ20" s="113">
        <v>0</v>
      </c>
      <c r="CA20" s="113">
        <v>0</v>
      </c>
      <c r="CB20" s="113">
        <v>0</v>
      </c>
      <c r="CC20" s="113">
        <v>0</v>
      </c>
      <c r="CD20" s="113">
        <v>0</v>
      </c>
      <c r="CE20" s="113">
        <v>0</v>
      </c>
      <c r="CF20" s="113">
        <v>0</v>
      </c>
      <c r="CG20" s="113">
        <v>0</v>
      </c>
      <c r="CH20" s="113">
        <v>0</v>
      </c>
      <c r="CI20" s="113">
        <v>0</v>
      </c>
      <c r="CJ20" s="113">
        <v>0</v>
      </c>
      <c r="CK20" s="113">
        <v>0</v>
      </c>
      <c r="CL20" s="113">
        <v>0</v>
      </c>
      <c r="CM20" s="113">
        <v>0</v>
      </c>
      <c r="CN20" s="113">
        <v>0</v>
      </c>
      <c r="CO20" s="113">
        <v>0</v>
      </c>
      <c r="CP20" s="113">
        <v>0</v>
      </c>
      <c r="CQ20" s="113">
        <v>0</v>
      </c>
      <c r="CR20" s="113">
        <v>0</v>
      </c>
      <c r="CS20" s="113">
        <v>0</v>
      </c>
      <c r="CT20" s="113">
        <v>0</v>
      </c>
      <c r="CU20" s="113">
        <v>0</v>
      </c>
      <c r="CV20" s="113">
        <v>0</v>
      </c>
      <c r="CW20" s="113">
        <v>0</v>
      </c>
      <c r="CX20" s="113">
        <v>0</v>
      </c>
      <c r="CY20" s="113">
        <v>0</v>
      </c>
      <c r="CZ20" s="113">
        <v>0</v>
      </c>
      <c r="DA20" s="113">
        <v>0</v>
      </c>
      <c r="DB20" s="113">
        <v>0</v>
      </c>
      <c r="DC20" s="113">
        <v>0</v>
      </c>
      <c r="DD20" s="113">
        <v>0</v>
      </c>
      <c r="DE20" s="113">
        <v>0</v>
      </c>
      <c r="DF20" s="113">
        <v>0</v>
      </c>
      <c r="DG20" s="113">
        <v>0</v>
      </c>
      <c r="DH20" s="113">
        <v>0</v>
      </c>
      <c r="DI20" s="113">
        <v>0</v>
      </c>
      <c r="DK20" s="112" t="s">
        <v>276</v>
      </c>
      <c r="DL20" s="113">
        <v>0</v>
      </c>
      <c r="DM20" s="113">
        <v>0</v>
      </c>
      <c r="DN20" s="113">
        <v>0</v>
      </c>
      <c r="DO20" s="113">
        <v>0</v>
      </c>
      <c r="DP20" s="113">
        <v>0</v>
      </c>
      <c r="DQ20" s="113">
        <v>0</v>
      </c>
      <c r="DR20" s="113">
        <v>0</v>
      </c>
      <c r="DS20" s="113">
        <v>0</v>
      </c>
      <c r="DT20" s="113">
        <v>0</v>
      </c>
      <c r="DU20" s="113">
        <v>0</v>
      </c>
      <c r="DV20" s="113">
        <v>0</v>
      </c>
      <c r="DW20" s="113">
        <v>0</v>
      </c>
      <c r="DX20" s="113">
        <v>0</v>
      </c>
      <c r="DY20" s="113">
        <v>0</v>
      </c>
      <c r="DZ20" s="113">
        <v>0</v>
      </c>
      <c r="EA20" s="113">
        <v>0</v>
      </c>
      <c r="EB20" s="113">
        <v>0</v>
      </c>
      <c r="EC20" s="113">
        <v>0</v>
      </c>
      <c r="ED20" s="113">
        <v>0</v>
      </c>
      <c r="EE20" s="113">
        <v>0</v>
      </c>
      <c r="EF20" s="113">
        <v>0</v>
      </c>
      <c r="EG20" s="113">
        <v>0</v>
      </c>
      <c r="EH20" s="113">
        <v>0</v>
      </c>
      <c r="EI20" s="113">
        <v>0</v>
      </c>
      <c r="EJ20" s="113">
        <v>0</v>
      </c>
      <c r="EK20" s="113">
        <v>0</v>
      </c>
      <c r="EL20" s="113">
        <v>0</v>
      </c>
      <c r="EM20" s="113">
        <v>0</v>
      </c>
      <c r="EN20" s="113">
        <v>0</v>
      </c>
      <c r="EO20" s="113">
        <v>0</v>
      </c>
      <c r="EP20" s="113">
        <v>0</v>
      </c>
      <c r="EQ20" s="113">
        <v>0</v>
      </c>
      <c r="ER20" s="113">
        <v>0</v>
      </c>
      <c r="ES20" s="113">
        <v>0</v>
      </c>
      <c r="ET20" s="113">
        <v>0</v>
      </c>
      <c r="EU20" s="113">
        <v>0</v>
      </c>
      <c r="EV20" s="113">
        <v>0</v>
      </c>
      <c r="EW20" s="113">
        <v>0</v>
      </c>
      <c r="EX20" s="113">
        <v>0</v>
      </c>
      <c r="EY20" s="113">
        <v>0</v>
      </c>
      <c r="EZ20" s="113">
        <v>0</v>
      </c>
      <c r="FA20" s="113">
        <v>0</v>
      </c>
      <c r="FB20" s="113">
        <v>0</v>
      </c>
      <c r="FC20" s="113">
        <v>0</v>
      </c>
      <c r="FD20" s="113">
        <v>0</v>
      </c>
      <c r="FE20" s="113">
        <v>0</v>
      </c>
      <c r="FF20" s="113">
        <v>0</v>
      </c>
      <c r="FG20" s="113">
        <v>0</v>
      </c>
      <c r="FH20" s="113">
        <v>0</v>
      </c>
      <c r="FI20" s="113">
        <v>0</v>
      </c>
      <c r="FJ20" s="113">
        <v>0</v>
      </c>
      <c r="FK20" s="113">
        <v>0</v>
      </c>
      <c r="FL20" s="113">
        <v>0</v>
      </c>
      <c r="FM20" s="113">
        <v>0</v>
      </c>
      <c r="FN20" s="113">
        <v>0</v>
      </c>
      <c r="FO20" s="113">
        <v>0</v>
      </c>
      <c r="FP20" s="113">
        <v>0</v>
      </c>
      <c r="FQ20" s="113">
        <v>0</v>
      </c>
      <c r="FR20" s="113">
        <v>0</v>
      </c>
      <c r="FS20" s="113">
        <v>0</v>
      </c>
      <c r="FT20" s="113">
        <v>0</v>
      </c>
      <c r="FU20" s="113">
        <v>0</v>
      </c>
      <c r="FV20" s="113">
        <v>0</v>
      </c>
      <c r="FW20" s="113">
        <v>0</v>
      </c>
      <c r="FX20" s="113">
        <v>0</v>
      </c>
      <c r="FY20" s="113">
        <v>0</v>
      </c>
      <c r="FZ20" s="113">
        <v>0</v>
      </c>
      <c r="GA20" s="113">
        <v>0</v>
      </c>
      <c r="GB20" s="113">
        <v>0</v>
      </c>
      <c r="GC20" s="113">
        <v>0</v>
      </c>
      <c r="GD20" s="113">
        <v>0</v>
      </c>
      <c r="GE20" s="113">
        <v>0</v>
      </c>
      <c r="GF20" s="113">
        <v>0</v>
      </c>
      <c r="GG20" s="113">
        <v>0</v>
      </c>
      <c r="GH20" s="113">
        <v>0</v>
      </c>
      <c r="GI20" s="113">
        <v>0</v>
      </c>
      <c r="GJ20" s="113">
        <v>0</v>
      </c>
      <c r="GK20" s="113">
        <v>0</v>
      </c>
      <c r="GL20" s="113">
        <v>0</v>
      </c>
      <c r="GM20" s="113">
        <v>0</v>
      </c>
      <c r="GN20" s="113">
        <v>0</v>
      </c>
      <c r="GO20" s="113">
        <v>0</v>
      </c>
      <c r="GP20" s="113">
        <v>0</v>
      </c>
      <c r="GQ20" s="113">
        <v>0</v>
      </c>
      <c r="GR20" s="113">
        <v>0</v>
      </c>
      <c r="GS20" s="113">
        <v>0</v>
      </c>
      <c r="GT20" s="113">
        <v>0</v>
      </c>
      <c r="GU20" s="113">
        <v>0</v>
      </c>
      <c r="GV20" s="113">
        <v>0</v>
      </c>
      <c r="GW20" s="113">
        <v>0</v>
      </c>
      <c r="GX20" s="113">
        <v>0</v>
      </c>
      <c r="GY20" s="113">
        <v>0</v>
      </c>
      <c r="GZ20" s="113">
        <v>0</v>
      </c>
      <c r="HA20" s="113">
        <v>0</v>
      </c>
      <c r="HB20" s="113">
        <v>0</v>
      </c>
      <c r="HC20" s="113">
        <v>0</v>
      </c>
      <c r="HD20" s="113">
        <v>0</v>
      </c>
      <c r="HE20" s="113">
        <v>0</v>
      </c>
      <c r="HF20" s="113">
        <v>0</v>
      </c>
      <c r="HG20" s="113">
        <v>0</v>
      </c>
      <c r="HH20" s="113">
        <v>0</v>
      </c>
    </row>
    <row r="21" spans="2:216" s="61" customFormat="1" ht="12" x14ac:dyDescent="0.3">
      <c r="B21" s="112" t="s">
        <v>277</v>
      </c>
      <c r="C21" s="113">
        <v>0</v>
      </c>
      <c r="D21" s="113">
        <v>1</v>
      </c>
      <c r="E21" s="113">
        <v>0</v>
      </c>
      <c r="F21" s="113">
        <v>0</v>
      </c>
      <c r="G21" s="113">
        <v>0</v>
      </c>
      <c r="H21" s="113">
        <v>0</v>
      </c>
      <c r="I21" s="113">
        <v>0</v>
      </c>
      <c r="J21" s="113">
        <v>0</v>
      </c>
      <c r="L21" s="112" t="s">
        <v>277</v>
      </c>
      <c r="M21" s="113">
        <v>0</v>
      </c>
      <c r="N21" s="113">
        <v>0</v>
      </c>
      <c r="O21" s="113">
        <v>0</v>
      </c>
      <c r="P21" s="113">
        <v>0</v>
      </c>
      <c r="Q21" s="113">
        <v>0</v>
      </c>
      <c r="R21" s="113">
        <v>0</v>
      </c>
      <c r="S21" s="113">
        <v>0</v>
      </c>
      <c r="T21" s="113">
        <v>0</v>
      </c>
      <c r="U21" s="113">
        <v>0</v>
      </c>
      <c r="V21" s="113">
        <v>0</v>
      </c>
      <c r="W21" s="113">
        <v>0</v>
      </c>
      <c r="X21" s="113">
        <v>0</v>
      </c>
      <c r="Y21" s="113">
        <v>0</v>
      </c>
      <c r="Z21" s="113">
        <v>0</v>
      </c>
      <c r="AA21" s="113">
        <v>0</v>
      </c>
      <c r="AB21" s="113">
        <v>0</v>
      </c>
      <c r="AC21" s="113">
        <v>0</v>
      </c>
      <c r="AD21" s="113">
        <v>0</v>
      </c>
      <c r="AE21" s="113">
        <v>0</v>
      </c>
      <c r="AF21" s="113">
        <v>0</v>
      </c>
      <c r="AG21" s="113">
        <v>0</v>
      </c>
      <c r="AH21" s="113">
        <v>0</v>
      </c>
      <c r="AI21" s="113">
        <v>0</v>
      </c>
      <c r="AJ21" s="113">
        <v>0</v>
      </c>
      <c r="AK21" s="113">
        <v>0</v>
      </c>
      <c r="AL21" s="113">
        <v>0</v>
      </c>
      <c r="AM21" s="113">
        <v>0</v>
      </c>
      <c r="AN21" s="113">
        <v>0</v>
      </c>
      <c r="AO21" s="113">
        <v>0</v>
      </c>
      <c r="AP21" s="113">
        <v>0</v>
      </c>
      <c r="AQ21" s="113">
        <v>0</v>
      </c>
      <c r="AR21" s="113">
        <v>0</v>
      </c>
      <c r="AS21" s="113">
        <v>0</v>
      </c>
      <c r="AT21" s="113">
        <v>0</v>
      </c>
      <c r="AU21" s="113">
        <v>0</v>
      </c>
      <c r="AV21" s="113">
        <v>0</v>
      </c>
      <c r="AW21" s="113">
        <v>0</v>
      </c>
      <c r="AX21" s="113">
        <v>0</v>
      </c>
      <c r="AY21" s="113">
        <v>0</v>
      </c>
      <c r="AZ21" s="113">
        <v>0</v>
      </c>
      <c r="BA21" s="113">
        <v>0</v>
      </c>
      <c r="BB21" s="113">
        <v>0</v>
      </c>
      <c r="BC21" s="113">
        <v>0</v>
      </c>
      <c r="BD21" s="113">
        <v>0</v>
      </c>
      <c r="BE21" s="113">
        <v>0</v>
      </c>
      <c r="BF21" s="113">
        <v>0</v>
      </c>
      <c r="BG21" s="113">
        <v>0</v>
      </c>
      <c r="BH21" s="113">
        <v>0</v>
      </c>
      <c r="BI21" s="113">
        <v>0</v>
      </c>
      <c r="BJ21" s="113">
        <v>0</v>
      </c>
      <c r="BK21" s="113">
        <v>0</v>
      </c>
      <c r="BL21" s="113">
        <v>0</v>
      </c>
      <c r="BM21" s="113">
        <v>0</v>
      </c>
      <c r="BN21" s="113">
        <v>0</v>
      </c>
      <c r="BO21" s="113">
        <v>0</v>
      </c>
      <c r="BP21" s="113">
        <v>0</v>
      </c>
      <c r="BQ21" s="113">
        <v>0</v>
      </c>
      <c r="BR21" s="113">
        <v>0</v>
      </c>
      <c r="BS21" s="113">
        <v>0</v>
      </c>
      <c r="BT21" s="113">
        <v>0</v>
      </c>
      <c r="BU21" s="113">
        <v>0</v>
      </c>
      <c r="BV21" s="113">
        <v>0</v>
      </c>
      <c r="BW21" s="113">
        <v>0</v>
      </c>
      <c r="BX21" s="113">
        <v>0</v>
      </c>
      <c r="BY21" s="113">
        <v>0</v>
      </c>
      <c r="BZ21" s="113">
        <v>0</v>
      </c>
      <c r="CA21" s="113">
        <v>0</v>
      </c>
      <c r="CB21" s="113">
        <v>0</v>
      </c>
      <c r="CC21" s="113">
        <v>0</v>
      </c>
      <c r="CD21" s="113">
        <v>0</v>
      </c>
      <c r="CE21" s="113">
        <v>0</v>
      </c>
      <c r="CF21" s="113">
        <v>0</v>
      </c>
      <c r="CG21" s="113">
        <v>0</v>
      </c>
      <c r="CH21" s="113">
        <v>0</v>
      </c>
      <c r="CI21" s="113">
        <v>0</v>
      </c>
      <c r="CJ21" s="113">
        <v>0</v>
      </c>
      <c r="CK21" s="113">
        <v>0</v>
      </c>
      <c r="CL21" s="113">
        <v>0</v>
      </c>
      <c r="CM21" s="113">
        <v>0</v>
      </c>
      <c r="CN21" s="113">
        <v>0</v>
      </c>
      <c r="CO21" s="113">
        <v>0</v>
      </c>
      <c r="CP21" s="113">
        <v>0</v>
      </c>
      <c r="CQ21" s="113">
        <v>0</v>
      </c>
      <c r="CR21" s="113">
        <v>0</v>
      </c>
      <c r="CS21" s="113">
        <v>0</v>
      </c>
      <c r="CT21" s="113">
        <v>0</v>
      </c>
      <c r="CU21" s="113">
        <v>0</v>
      </c>
      <c r="CV21" s="113">
        <v>0</v>
      </c>
      <c r="CW21" s="113">
        <v>0</v>
      </c>
      <c r="CX21" s="113">
        <v>0</v>
      </c>
      <c r="CY21" s="113">
        <v>0</v>
      </c>
      <c r="CZ21" s="113">
        <v>0</v>
      </c>
      <c r="DA21" s="113">
        <v>0</v>
      </c>
      <c r="DB21" s="113">
        <v>0</v>
      </c>
      <c r="DC21" s="113">
        <v>0</v>
      </c>
      <c r="DD21" s="113">
        <v>0</v>
      </c>
      <c r="DE21" s="113">
        <v>0</v>
      </c>
      <c r="DF21" s="113">
        <v>0</v>
      </c>
      <c r="DG21" s="113">
        <v>0</v>
      </c>
      <c r="DH21" s="113">
        <v>0</v>
      </c>
      <c r="DI21" s="113">
        <v>0</v>
      </c>
      <c r="DK21" s="112" t="s">
        <v>277</v>
      </c>
      <c r="DL21" s="113">
        <v>0</v>
      </c>
      <c r="DM21" s="113">
        <v>0</v>
      </c>
      <c r="DN21" s="113">
        <v>0</v>
      </c>
      <c r="DO21" s="113">
        <v>0</v>
      </c>
      <c r="DP21" s="113">
        <v>0</v>
      </c>
      <c r="DQ21" s="113">
        <v>0</v>
      </c>
      <c r="DR21" s="113">
        <v>0</v>
      </c>
      <c r="DS21" s="113">
        <v>0</v>
      </c>
      <c r="DT21" s="113">
        <v>0</v>
      </c>
      <c r="DU21" s="113">
        <v>0</v>
      </c>
      <c r="DV21" s="113">
        <v>0</v>
      </c>
      <c r="DW21" s="113">
        <v>0</v>
      </c>
      <c r="DX21" s="113">
        <v>0</v>
      </c>
      <c r="DY21" s="113">
        <v>0</v>
      </c>
      <c r="DZ21" s="113">
        <v>0</v>
      </c>
      <c r="EA21" s="113">
        <v>0</v>
      </c>
      <c r="EB21" s="113">
        <v>0</v>
      </c>
      <c r="EC21" s="113">
        <v>0</v>
      </c>
      <c r="ED21" s="113">
        <v>0</v>
      </c>
      <c r="EE21" s="113">
        <v>0</v>
      </c>
      <c r="EF21" s="113">
        <v>0</v>
      </c>
      <c r="EG21" s="113">
        <v>0</v>
      </c>
      <c r="EH21" s="113">
        <v>0</v>
      </c>
      <c r="EI21" s="113">
        <v>0</v>
      </c>
      <c r="EJ21" s="113">
        <v>0</v>
      </c>
      <c r="EK21" s="113">
        <v>0</v>
      </c>
      <c r="EL21" s="113">
        <v>0</v>
      </c>
      <c r="EM21" s="113">
        <v>0</v>
      </c>
      <c r="EN21" s="113">
        <v>0</v>
      </c>
      <c r="EO21" s="113">
        <v>0</v>
      </c>
      <c r="EP21" s="113">
        <v>0</v>
      </c>
      <c r="EQ21" s="113">
        <v>0</v>
      </c>
      <c r="ER21" s="113">
        <v>0</v>
      </c>
      <c r="ES21" s="113">
        <v>0</v>
      </c>
      <c r="ET21" s="113">
        <v>0</v>
      </c>
      <c r="EU21" s="113">
        <v>0</v>
      </c>
      <c r="EV21" s="113">
        <v>0</v>
      </c>
      <c r="EW21" s="113">
        <v>0</v>
      </c>
      <c r="EX21" s="113">
        <v>0</v>
      </c>
      <c r="EY21" s="113">
        <v>0</v>
      </c>
      <c r="EZ21" s="113">
        <v>0</v>
      </c>
      <c r="FA21" s="113">
        <v>0</v>
      </c>
      <c r="FB21" s="113">
        <v>0</v>
      </c>
      <c r="FC21" s="113">
        <v>0</v>
      </c>
      <c r="FD21" s="113">
        <v>0</v>
      </c>
      <c r="FE21" s="113">
        <v>0</v>
      </c>
      <c r="FF21" s="113">
        <v>0</v>
      </c>
      <c r="FG21" s="113">
        <v>0</v>
      </c>
      <c r="FH21" s="113">
        <v>0</v>
      </c>
      <c r="FI21" s="113">
        <v>0</v>
      </c>
      <c r="FJ21" s="113">
        <v>0</v>
      </c>
      <c r="FK21" s="113">
        <v>0</v>
      </c>
      <c r="FL21" s="113">
        <v>0</v>
      </c>
      <c r="FM21" s="113">
        <v>0</v>
      </c>
      <c r="FN21" s="113">
        <v>0</v>
      </c>
      <c r="FO21" s="113">
        <v>0</v>
      </c>
      <c r="FP21" s="113">
        <v>0</v>
      </c>
      <c r="FQ21" s="113">
        <v>0</v>
      </c>
      <c r="FR21" s="113">
        <v>0</v>
      </c>
      <c r="FS21" s="113">
        <v>0</v>
      </c>
      <c r="FT21" s="113">
        <v>0</v>
      </c>
      <c r="FU21" s="113">
        <v>0</v>
      </c>
      <c r="FV21" s="113">
        <v>0</v>
      </c>
      <c r="FW21" s="113">
        <v>0</v>
      </c>
      <c r="FX21" s="113">
        <v>0</v>
      </c>
      <c r="FY21" s="113">
        <v>0</v>
      </c>
      <c r="FZ21" s="113">
        <v>0</v>
      </c>
      <c r="GA21" s="113">
        <v>0</v>
      </c>
      <c r="GB21" s="113">
        <v>0</v>
      </c>
      <c r="GC21" s="113">
        <v>0</v>
      </c>
      <c r="GD21" s="113">
        <v>0</v>
      </c>
      <c r="GE21" s="113">
        <v>0</v>
      </c>
      <c r="GF21" s="113">
        <v>0</v>
      </c>
      <c r="GG21" s="113">
        <v>0</v>
      </c>
      <c r="GH21" s="113">
        <v>0</v>
      </c>
      <c r="GI21" s="113">
        <v>0</v>
      </c>
      <c r="GJ21" s="113">
        <v>0</v>
      </c>
      <c r="GK21" s="113">
        <v>0</v>
      </c>
      <c r="GL21" s="113">
        <v>0</v>
      </c>
      <c r="GM21" s="113">
        <v>0</v>
      </c>
      <c r="GN21" s="113">
        <v>0</v>
      </c>
      <c r="GO21" s="113">
        <v>0</v>
      </c>
      <c r="GP21" s="113">
        <v>0</v>
      </c>
      <c r="GQ21" s="113">
        <v>0</v>
      </c>
      <c r="GR21" s="113">
        <v>0</v>
      </c>
      <c r="GS21" s="113">
        <v>0</v>
      </c>
      <c r="GT21" s="113">
        <v>0</v>
      </c>
      <c r="GU21" s="113">
        <v>0</v>
      </c>
      <c r="GV21" s="113">
        <v>0</v>
      </c>
      <c r="GW21" s="113">
        <v>0</v>
      </c>
      <c r="GX21" s="113">
        <v>0</v>
      </c>
      <c r="GY21" s="113">
        <v>0</v>
      </c>
      <c r="GZ21" s="113">
        <v>0</v>
      </c>
      <c r="HA21" s="113">
        <v>0</v>
      </c>
      <c r="HB21" s="113">
        <v>0</v>
      </c>
      <c r="HC21" s="113">
        <v>0</v>
      </c>
      <c r="HD21" s="113">
        <v>0</v>
      </c>
      <c r="HE21" s="113">
        <v>0</v>
      </c>
      <c r="HF21" s="113">
        <v>0</v>
      </c>
      <c r="HG21" s="113">
        <v>0</v>
      </c>
      <c r="HH21" s="113">
        <v>0</v>
      </c>
    </row>
    <row r="22" spans="2:216" s="61" customFormat="1" ht="12" x14ac:dyDescent="0.3">
      <c r="B22" s="112" t="s">
        <v>278</v>
      </c>
      <c r="C22" s="113">
        <v>0</v>
      </c>
      <c r="D22" s="113">
        <v>0</v>
      </c>
      <c r="E22" s="113">
        <v>1</v>
      </c>
      <c r="F22" s="113">
        <v>0</v>
      </c>
      <c r="G22" s="113">
        <v>0</v>
      </c>
      <c r="H22" s="113">
        <v>0</v>
      </c>
      <c r="I22" s="113">
        <v>0</v>
      </c>
      <c r="J22" s="113">
        <v>0</v>
      </c>
      <c r="L22" s="112" t="s">
        <v>278</v>
      </c>
      <c r="M22" s="113">
        <v>0</v>
      </c>
      <c r="N22" s="113">
        <v>0</v>
      </c>
      <c r="O22" s="113">
        <v>0</v>
      </c>
      <c r="P22" s="113">
        <v>0</v>
      </c>
      <c r="Q22" s="113">
        <v>0</v>
      </c>
      <c r="R22" s="113">
        <v>0</v>
      </c>
      <c r="S22" s="113">
        <v>0</v>
      </c>
      <c r="T22" s="113">
        <v>0</v>
      </c>
      <c r="U22" s="113">
        <v>0</v>
      </c>
      <c r="V22" s="113">
        <v>0</v>
      </c>
      <c r="W22" s="113">
        <v>0</v>
      </c>
      <c r="X22" s="113">
        <v>0</v>
      </c>
      <c r="Y22" s="113">
        <v>0</v>
      </c>
      <c r="Z22" s="113">
        <v>0</v>
      </c>
      <c r="AA22" s="113">
        <v>0</v>
      </c>
      <c r="AB22" s="113">
        <v>0</v>
      </c>
      <c r="AC22" s="113">
        <v>0</v>
      </c>
      <c r="AD22" s="113">
        <v>0</v>
      </c>
      <c r="AE22" s="113">
        <v>0</v>
      </c>
      <c r="AF22" s="113">
        <v>0</v>
      </c>
      <c r="AG22" s="113">
        <v>0</v>
      </c>
      <c r="AH22" s="113">
        <v>0</v>
      </c>
      <c r="AI22" s="113">
        <v>0</v>
      </c>
      <c r="AJ22" s="113">
        <v>0</v>
      </c>
      <c r="AK22" s="113">
        <v>0</v>
      </c>
      <c r="AL22" s="113">
        <v>0</v>
      </c>
      <c r="AM22" s="113">
        <v>0</v>
      </c>
      <c r="AN22" s="113">
        <v>0</v>
      </c>
      <c r="AO22" s="113">
        <v>0</v>
      </c>
      <c r="AP22" s="113">
        <v>0</v>
      </c>
      <c r="AQ22" s="113">
        <v>0</v>
      </c>
      <c r="AR22" s="113">
        <v>0</v>
      </c>
      <c r="AS22" s="113">
        <v>0</v>
      </c>
      <c r="AT22" s="113">
        <v>0</v>
      </c>
      <c r="AU22" s="113">
        <v>0</v>
      </c>
      <c r="AV22" s="113">
        <v>0</v>
      </c>
      <c r="AW22" s="113">
        <v>0</v>
      </c>
      <c r="AX22" s="113">
        <v>0</v>
      </c>
      <c r="AY22" s="113">
        <v>0</v>
      </c>
      <c r="AZ22" s="113">
        <v>0</v>
      </c>
      <c r="BA22" s="113">
        <v>0</v>
      </c>
      <c r="BB22" s="113">
        <v>0</v>
      </c>
      <c r="BC22" s="113">
        <v>0</v>
      </c>
      <c r="BD22" s="113">
        <v>0</v>
      </c>
      <c r="BE22" s="113">
        <v>0</v>
      </c>
      <c r="BF22" s="113">
        <v>0</v>
      </c>
      <c r="BG22" s="113">
        <v>0</v>
      </c>
      <c r="BH22" s="113">
        <v>0</v>
      </c>
      <c r="BI22" s="113">
        <v>0</v>
      </c>
      <c r="BJ22" s="113">
        <v>0</v>
      </c>
      <c r="BK22" s="113">
        <v>0</v>
      </c>
      <c r="BL22" s="113">
        <v>0</v>
      </c>
      <c r="BM22" s="113">
        <v>0</v>
      </c>
      <c r="BN22" s="113">
        <v>0</v>
      </c>
      <c r="BO22" s="113">
        <v>0</v>
      </c>
      <c r="BP22" s="113">
        <v>0</v>
      </c>
      <c r="BQ22" s="113">
        <v>0</v>
      </c>
      <c r="BR22" s="113">
        <v>0</v>
      </c>
      <c r="BS22" s="113">
        <v>0</v>
      </c>
      <c r="BT22" s="113">
        <v>0</v>
      </c>
      <c r="BU22" s="113">
        <v>0</v>
      </c>
      <c r="BV22" s="113">
        <v>0</v>
      </c>
      <c r="BW22" s="113">
        <v>0</v>
      </c>
      <c r="BX22" s="113">
        <v>0</v>
      </c>
      <c r="BY22" s="113">
        <v>0</v>
      </c>
      <c r="BZ22" s="113">
        <v>0</v>
      </c>
      <c r="CA22" s="113">
        <v>0</v>
      </c>
      <c r="CB22" s="113">
        <v>0</v>
      </c>
      <c r="CC22" s="113">
        <v>0</v>
      </c>
      <c r="CD22" s="113">
        <v>0</v>
      </c>
      <c r="CE22" s="113">
        <v>0</v>
      </c>
      <c r="CF22" s="113">
        <v>0</v>
      </c>
      <c r="CG22" s="113">
        <v>0</v>
      </c>
      <c r="CH22" s="113">
        <v>0</v>
      </c>
      <c r="CI22" s="113">
        <v>0</v>
      </c>
      <c r="CJ22" s="113">
        <v>0</v>
      </c>
      <c r="CK22" s="113">
        <v>0</v>
      </c>
      <c r="CL22" s="113">
        <v>0</v>
      </c>
      <c r="CM22" s="113">
        <v>0</v>
      </c>
      <c r="CN22" s="113">
        <v>0</v>
      </c>
      <c r="CO22" s="113">
        <v>0</v>
      </c>
      <c r="CP22" s="113">
        <v>0</v>
      </c>
      <c r="CQ22" s="113">
        <v>0</v>
      </c>
      <c r="CR22" s="113">
        <v>0</v>
      </c>
      <c r="CS22" s="113">
        <v>0</v>
      </c>
      <c r="CT22" s="113">
        <v>0</v>
      </c>
      <c r="CU22" s="113">
        <v>0</v>
      </c>
      <c r="CV22" s="113">
        <v>0</v>
      </c>
      <c r="CW22" s="113">
        <v>0</v>
      </c>
      <c r="CX22" s="113">
        <v>0</v>
      </c>
      <c r="CY22" s="113">
        <v>0</v>
      </c>
      <c r="CZ22" s="113">
        <v>0</v>
      </c>
      <c r="DA22" s="113">
        <v>0</v>
      </c>
      <c r="DB22" s="113">
        <v>0</v>
      </c>
      <c r="DC22" s="113">
        <v>0</v>
      </c>
      <c r="DD22" s="113">
        <v>0</v>
      </c>
      <c r="DE22" s="113">
        <v>0</v>
      </c>
      <c r="DF22" s="113">
        <v>0</v>
      </c>
      <c r="DG22" s="113">
        <v>0</v>
      </c>
      <c r="DH22" s="113">
        <v>0</v>
      </c>
      <c r="DI22" s="113">
        <v>0</v>
      </c>
      <c r="DK22" s="112" t="s">
        <v>278</v>
      </c>
      <c r="DL22" s="113">
        <v>0</v>
      </c>
      <c r="DM22" s="113">
        <v>0</v>
      </c>
      <c r="DN22" s="113">
        <v>0</v>
      </c>
      <c r="DO22" s="113">
        <v>0</v>
      </c>
      <c r="DP22" s="113">
        <v>0</v>
      </c>
      <c r="DQ22" s="113">
        <v>0</v>
      </c>
      <c r="DR22" s="113">
        <v>0</v>
      </c>
      <c r="DS22" s="113">
        <v>0</v>
      </c>
      <c r="DT22" s="113">
        <v>0</v>
      </c>
      <c r="DU22" s="113">
        <v>0</v>
      </c>
      <c r="DV22" s="113">
        <v>0</v>
      </c>
      <c r="DW22" s="113">
        <v>0</v>
      </c>
      <c r="DX22" s="113">
        <v>0</v>
      </c>
      <c r="DY22" s="113">
        <v>0</v>
      </c>
      <c r="DZ22" s="113">
        <v>0</v>
      </c>
      <c r="EA22" s="113">
        <v>0</v>
      </c>
      <c r="EB22" s="113">
        <v>0</v>
      </c>
      <c r="EC22" s="113">
        <v>0</v>
      </c>
      <c r="ED22" s="113">
        <v>0</v>
      </c>
      <c r="EE22" s="113">
        <v>0</v>
      </c>
      <c r="EF22" s="113">
        <v>0</v>
      </c>
      <c r="EG22" s="113">
        <v>0</v>
      </c>
      <c r="EH22" s="113">
        <v>0</v>
      </c>
      <c r="EI22" s="113">
        <v>0</v>
      </c>
      <c r="EJ22" s="113">
        <v>0</v>
      </c>
      <c r="EK22" s="113">
        <v>0</v>
      </c>
      <c r="EL22" s="113">
        <v>0</v>
      </c>
      <c r="EM22" s="113">
        <v>0</v>
      </c>
      <c r="EN22" s="113">
        <v>0</v>
      </c>
      <c r="EO22" s="113">
        <v>0</v>
      </c>
      <c r="EP22" s="113">
        <v>0</v>
      </c>
      <c r="EQ22" s="113">
        <v>0</v>
      </c>
      <c r="ER22" s="113">
        <v>0</v>
      </c>
      <c r="ES22" s="113">
        <v>0</v>
      </c>
      <c r="ET22" s="113">
        <v>0</v>
      </c>
      <c r="EU22" s="113">
        <v>0</v>
      </c>
      <c r="EV22" s="113">
        <v>0</v>
      </c>
      <c r="EW22" s="113">
        <v>0</v>
      </c>
      <c r="EX22" s="113">
        <v>0</v>
      </c>
      <c r="EY22" s="113">
        <v>0</v>
      </c>
      <c r="EZ22" s="113">
        <v>0</v>
      </c>
      <c r="FA22" s="113">
        <v>0</v>
      </c>
      <c r="FB22" s="113">
        <v>0</v>
      </c>
      <c r="FC22" s="113">
        <v>0</v>
      </c>
      <c r="FD22" s="113">
        <v>0</v>
      </c>
      <c r="FE22" s="113">
        <v>0</v>
      </c>
      <c r="FF22" s="113">
        <v>0</v>
      </c>
      <c r="FG22" s="113">
        <v>0</v>
      </c>
      <c r="FH22" s="113">
        <v>0</v>
      </c>
      <c r="FI22" s="113">
        <v>0</v>
      </c>
      <c r="FJ22" s="113">
        <v>0</v>
      </c>
      <c r="FK22" s="113">
        <v>0</v>
      </c>
      <c r="FL22" s="113">
        <v>0</v>
      </c>
      <c r="FM22" s="113">
        <v>0</v>
      </c>
      <c r="FN22" s="113">
        <v>0</v>
      </c>
      <c r="FO22" s="113">
        <v>0</v>
      </c>
      <c r="FP22" s="113">
        <v>0</v>
      </c>
      <c r="FQ22" s="113">
        <v>0</v>
      </c>
      <c r="FR22" s="113">
        <v>0</v>
      </c>
      <c r="FS22" s="113">
        <v>0</v>
      </c>
      <c r="FT22" s="113">
        <v>0</v>
      </c>
      <c r="FU22" s="113">
        <v>0</v>
      </c>
      <c r="FV22" s="113">
        <v>0</v>
      </c>
      <c r="FW22" s="113">
        <v>0</v>
      </c>
      <c r="FX22" s="113">
        <v>0</v>
      </c>
      <c r="FY22" s="113">
        <v>0</v>
      </c>
      <c r="FZ22" s="113">
        <v>0</v>
      </c>
      <c r="GA22" s="113">
        <v>0</v>
      </c>
      <c r="GB22" s="113">
        <v>0</v>
      </c>
      <c r="GC22" s="113">
        <v>0</v>
      </c>
      <c r="GD22" s="113">
        <v>0</v>
      </c>
      <c r="GE22" s="113">
        <v>0</v>
      </c>
      <c r="GF22" s="113">
        <v>0</v>
      </c>
      <c r="GG22" s="113">
        <v>0</v>
      </c>
      <c r="GH22" s="113">
        <v>0</v>
      </c>
      <c r="GI22" s="113">
        <v>0</v>
      </c>
      <c r="GJ22" s="113">
        <v>0</v>
      </c>
      <c r="GK22" s="113">
        <v>0</v>
      </c>
      <c r="GL22" s="113">
        <v>0</v>
      </c>
      <c r="GM22" s="113">
        <v>0</v>
      </c>
      <c r="GN22" s="113">
        <v>0</v>
      </c>
      <c r="GO22" s="113">
        <v>0</v>
      </c>
      <c r="GP22" s="113">
        <v>0</v>
      </c>
      <c r="GQ22" s="113">
        <v>0</v>
      </c>
      <c r="GR22" s="113">
        <v>0</v>
      </c>
      <c r="GS22" s="113">
        <v>0</v>
      </c>
      <c r="GT22" s="113">
        <v>0</v>
      </c>
      <c r="GU22" s="113">
        <v>0</v>
      </c>
      <c r="GV22" s="113">
        <v>0</v>
      </c>
      <c r="GW22" s="113">
        <v>0</v>
      </c>
      <c r="GX22" s="113">
        <v>0</v>
      </c>
      <c r="GY22" s="113">
        <v>0</v>
      </c>
      <c r="GZ22" s="113">
        <v>0</v>
      </c>
      <c r="HA22" s="113">
        <v>0</v>
      </c>
      <c r="HB22" s="113">
        <v>0</v>
      </c>
      <c r="HC22" s="113">
        <v>0</v>
      </c>
      <c r="HD22" s="113">
        <v>0</v>
      </c>
      <c r="HE22" s="113">
        <v>0</v>
      </c>
      <c r="HF22" s="113">
        <v>0</v>
      </c>
      <c r="HG22" s="113">
        <v>0</v>
      </c>
      <c r="HH22" s="113">
        <v>0</v>
      </c>
    </row>
    <row r="23" spans="2:216" s="61" customFormat="1" ht="12" x14ac:dyDescent="0.3">
      <c r="B23" s="112" t="s">
        <v>279</v>
      </c>
      <c r="C23" s="113">
        <v>0</v>
      </c>
      <c r="D23" s="113">
        <v>0</v>
      </c>
      <c r="E23" s="113">
        <v>0</v>
      </c>
      <c r="F23" s="113">
        <v>1</v>
      </c>
      <c r="G23" s="113">
        <v>0</v>
      </c>
      <c r="H23" s="113">
        <v>0</v>
      </c>
      <c r="I23" s="113">
        <v>0</v>
      </c>
      <c r="J23" s="113">
        <v>0</v>
      </c>
      <c r="L23" s="112" t="s">
        <v>279</v>
      </c>
      <c r="M23" s="113">
        <v>0</v>
      </c>
      <c r="N23" s="113">
        <v>0</v>
      </c>
      <c r="O23" s="113">
        <v>0</v>
      </c>
      <c r="P23" s="113">
        <v>0</v>
      </c>
      <c r="Q23" s="113">
        <v>0</v>
      </c>
      <c r="R23" s="113">
        <v>0</v>
      </c>
      <c r="S23" s="113">
        <v>0</v>
      </c>
      <c r="T23" s="113">
        <v>0</v>
      </c>
      <c r="U23" s="113">
        <v>0</v>
      </c>
      <c r="V23" s="113">
        <v>0</v>
      </c>
      <c r="W23" s="113">
        <v>0</v>
      </c>
      <c r="X23" s="113">
        <v>0</v>
      </c>
      <c r="Y23" s="113">
        <v>0</v>
      </c>
      <c r="Z23" s="113">
        <v>0</v>
      </c>
      <c r="AA23" s="113">
        <v>0</v>
      </c>
      <c r="AB23" s="113">
        <v>0</v>
      </c>
      <c r="AC23" s="113">
        <v>0</v>
      </c>
      <c r="AD23" s="113">
        <v>0</v>
      </c>
      <c r="AE23" s="113">
        <v>0</v>
      </c>
      <c r="AF23" s="113">
        <v>0</v>
      </c>
      <c r="AG23" s="113">
        <v>0</v>
      </c>
      <c r="AH23" s="113">
        <v>0</v>
      </c>
      <c r="AI23" s="113">
        <v>0</v>
      </c>
      <c r="AJ23" s="113">
        <v>0</v>
      </c>
      <c r="AK23" s="113">
        <v>0</v>
      </c>
      <c r="AL23" s="113">
        <v>0</v>
      </c>
      <c r="AM23" s="113">
        <v>0</v>
      </c>
      <c r="AN23" s="113">
        <v>0</v>
      </c>
      <c r="AO23" s="113">
        <v>0</v>
      </c>
      <c r="AP23" s="113">
        <v>0</v>
      </c>
      <c r="AQ23" s="113">
        <v>0</v>
      </c>
      <c r="AR23" s="113">
        <v>0</v>
      </c>
      <c r="AS23" s="113">
        <v>0</v>
      </c>
      <c r="AT23" s="113">
        <v>0</v>
      </c>
      <c r="AU23" s="113">
        <v>0</v>
      </c>
      <c r="AV23" s="113">
        <v>0</v>
      </c>
      <c r="AW23" s="113">
        <v>0</v>
      </c>
      <c r="AX23" s="113">
        <v>0</v>
      </c>
      <c r="AY23" s="113">
        <v>0</v>
      </c>
      <c r="AZ23" s="113">
        <v>0</v>
      </c>
      <c r="BA23" s="113">
        <v>0</v>
      </c>
      <c r="BB23" s="113">
        <v>0</v>
      </c>
      <c r="BC23" s="113">
        <v>0</v>
      </c>
      <c r="BD23" s="113">
        <v>0</v>
      </c>
      <c r="BE23" s="113">
        <v>0</v>
      </c>
      <c r="BF23" s="113">
        <v>0</v>
      </c>
      <c r="BG23" s="113">
        <v>0</v>
      </c>
      <c r="BH23" s="113">
        <v>0</v>
      </c>
      <c r="BI23" s="113">
        <v>0</v>
      </c>
      <c r="BJ23" s="113">
        <v>0</v>
      </c>
      <c r="BK23" s="113">
        <v>0</v>
      </c>
      <c r="BL23" s="113">
        <v>0</v>
      </c>
      <c r="BM23" s="113">
        <v>0</v>
      </c>
      <c r="BN23" s="113">
        <v>0</v>
      </c>
      <c r="BO23" s="113">
        <v>0</v>
      </c>
      <c r="BP23" s="113">
        <v>0</v>
      </c>
      <c r="BQ23" s="113">
        <v>0</v>
      </c>
      <c r="BR23" s="113">
        <v>0</v>
      </c>
      <c r="BS23" s="113">
        <v>0</v>
      </c>
      <c r="BT23" s="113">
        <v>0</v>
      </c>
      <c r="BU23" s="113">
        <v>0</v>
      </c>
      <c r="BV23" s="113">
        <v>0</v>
      </c>
      <c r="BW23" s="113">
        <v>0</v>
      </c>
      <c r="BX23" s="113">
        <v>0</v>
      </c>
      <c r="BY23" s="113">
        <v>0</v>
      </c>
      <c r="BZ23" s="113">
        <v>0</v>
      </c>
      <c r="CA23" s="113">
        <v>0</v>
      </c>
      <c r="CB23" s="113">
        <v>0</v>
      </c>
      <c r="CC23" s="113">
        <v>0</v>
      </c>
      <c r="CD23" s="113">
        <v>0</v>
      </c>
      <c r="CE23" s="113">
        <v>0</v>
      </c>
      <c r="CF23" s="113">
        <v>0</v>
      </c>
      <c r="CG23" s="113">
        <v>0</v>
      </c>
      <c r="CH23" s="113">
        <v>0</v>
      </c>
      <c r="CI23" s="113">
        <v>0</v>
      </c>
      <c r="CJ23" s="113">
        <v>0</v>
      </c>
      <c r="CK23" s="113">
        <v>0</v>
      </c>
      <c r="CL23" s="113">
        <v>0</v>
      </c>
      <c r="CM23" s="113">
        <v>0</v>
      </c>
      <c r="CN23" s="113">
        <v>0</v>
      </c>
      <c r="CO23" s="113">
        <v>0</v>
      </c>
      <c r="CP23" s="113">
        <v>0</v>
      </c>
      <c r="CQ23" s="113">
        <v>0</v>
      </c>
      <c r="CR23" s="113">
        <v>0</v>
      </c>
      <c r="CS23" s="113">
        <v>0</v>
      </c>
      <c r="CT23" s="113">
        <v>0</v>
      </c>
      <c r="CU23" s="113">
        <v>0</v>
      </c>
      <c r="CV23" s="113">
        <v>0</v>
      </c>
      <c r="CW23" s="113">
        <v>0</v>
      </c>
      <c r="CX23" s="113">
        <v>0</v>
      </c>
      <c r="CY23" s="113">
        <v>0</v>
      </c>
      <c r="CZ23" s="113">
        <v>0</v>
      </c>
      <c r="DA23" s="113">
        <v>0</v>
      </c>
      <c r="DB23" s="113">
        <v>0</v>
      </c>
      <c r="DC23" s="113">
        <v>0</v>
      </c>
      <c r="DD23" s="113">
        <v>0</v>
      </c>
      <c r="DE23" s="113">
        <v>0</v>
      </c>
      <c r="DF23" s="113">
        <v>0</v>
      </c>
      <c r="DG23" s="113">
        <v>0</v>
      </c>
      <c r="DH23" s="113">
        <v>0</v>
      </c>
      <c r="DI23" s="113">
        <v>0</v>
      </c>
      <c r="DK23" s="112" t="s">
        <v>279</v>
      </c>
      <c r="DL23" s="113">
        <v>0</v>
      </c>
      <c r="DM23" s="113">
        <v>0</v>
      </c>
      <c r="DN23" s="113">
        <v>0</v>
      </c>
      <c r="DO23" s="113">
        <v>0</v>
      </c>
      <c r="DP23" s="113">
        <v>0</v>
      </c>
      <c r="DQ23" s="113">
        <v>0</v>
      </c>
      <c r="DR23" s="113">
        <v>0</v>
      </c>
      <c r="DS23" s="113">
        <v>0</v>
      </c>
      <c r="DT23" s="113">
        <v>0</v>
      </c>
      <c r="DU23" s="113">
        <v>0</v>
      </c>
      <c r="DV23" s="113">
        <v>0</v>
      </c>
      <c r="DW23" s="113">
        <v>0</v>
      </c>
      <c r="DX23" s="113">
        <v>0</v>
      </c>
      <c r="DY23" s="113">
        <v>0</v>
      </c>
      <c r="DZ23" s="113">
        <v>0</v>
      </c>
      <c r="EA23" s="113">
        <v>0</v>
      </c>
      <c r="EB23" s="113">
        <v>0</v>
      </c>
      <c r="EC23" s="113">
        <v>0</v>
      </c>
      <c r="ED23" s="113">
        <v>0</v>
      </c>
      <c r="EE23" s="113">
        <v>0</v>
      </c>
      <c r="EF23" s="113">
        <v>0</v>
      </c>
      <c r="EG23" s="113">
        <v>0</v>
      </c>
      <c r="EH23" s="113">
        <v>0</v>
      </c>
      <c r="EI23" s="113">
        <v>0</v>
      </c>
      <c r="EJ23" s="113">
        <v>0</v>
      </c>
      <c r="EK23" s="113">
        <v>0</v>
      </c>
      <c r="EL23" s="113">
        <v>0</v>
      </c>
      <c r="EM23" s="113">
        <v>0</v>
      </c>
      <c r="EN23" s="113">
        <v>0</v>
      </c>
      <c r="EO23" s="113">
        <v>0</v>
      </c>
      <c r="EP23" s="113">
        <v>0</v>
      </c>
      <c r="EQ23" s="113">
        <v>0</v>
      </c>
      <c r="ER23" s="113">
        <v>0</v>
      </c>
      <c r="ES23" s="113">
        <v>0</v>
      </c>
      <c r="ET23" s="113">
        <v>0</v>
      </c>
      <c r="EU23" s="113">
        <v>0</v>
      </c>
      <c r="EV23" s="113">
        <v>0</v>
      </c>
      <c r="EW23" s="113">
        <v>0</v>
      </c>
      <c r="EX23" s="113">
        <v>0</v>
      </c>
      <c r="EY23" s="113">
        <v>0</v>
      </c>
      <c r="EZ23" s="113">
        <v>0</v>
      </c>
      <c r="FA23" s="113">
        <v>0</v>
      </c>
      <c r="FB23" s="113">
        <v>0</v>
      </c>
      <c r="FC23" s="113">
        <v>0</v>
      </c>
      <c r="FD23" s="113">
        <v>0</v>
      </c>
      <c r="FE23" s="113">
        <v>0</v>
      </c>
      <c r="FF23" s="113">
        <v>0</v>
      </c>
      <c r="FG23" s="113">
        <v>0</v>
      </c>
      <c r="FH23" s="113">
        <v>0</v>
      </c>
      <c r="FI23" s="113">
        <v>0</v>
      </c>
      <c r="FJ23" s="113">
        <v>0</v>
      </c>
      <c r="FK23" s="113">
        <v>0</v>
      </c>
      <c r="FL23" s="113">
        <v>0</v>
      </c>
      <c r="FM23" s="113">
        <v>0</v>
      </c>
      <c r="FN23" s="113">
        <v>0</v>
      </c>
      <c r="FO23" s="113">
        <v>0</v>
      </c>
      <c r="FP23" s="113">
        <v>0</v>
      </c>
      <c r="FQ23" s="113">
        <v>0</v>
      </c>
      <c r="FR23" s="113">
        <v>0</v>
      </c>
      <c r="FS23" s="113">
        <v>0</v>
      </c>
      <c r="FT23" s="113">
        <v>0</v>
      </c>
      <c r="FU23" s="113">
        <v>0</v>
      </c>
      <c r="FV23" s="113">
        <v>0</v>
      </c>
      <c r="FW23" s="113">
        <v>0</v>
      </c>
      <c r="FX23" s="113">
        <v>0</v>
      </c>
      <c r="FY23" s="113">
        <v>0</v>
      </c>
      <c r="FZ23" s="113">
        <v>0</v>
      </c>
      <c r="GA23" s="113">
        <v>0</v>
      </c>
      <c r="GB23" s="113">
        <v>0</v>
      </c>
      <c r="GC23" s="113">
        <v>0</v>
      </c>
      <c r="GD23" s="113">
        <v>0</v>
      </c>
      <c r="GE23" s="113">
        <v>0</v>
      </c>
      <c r="GF23" s="113">
        <v>0</v>
      </c>
      <c r="GG23" s="113">
        <v>0</v>
      </c>
      <c r="GH23" s="113">
        <v>0</v>
      </c>
      <c r="GI23" s="113">
        <v>0</v>
      </c>
      <c r="GJ23" s="113">
        <v>0</v>
      </c>
      <c r="GK23" s="113">
        <v>0</v>
      </c>
      <c r="GL23" s="113">
        <v>0</v>
      </c>
      <c r="GM23" s="113">
        <v>0</v>
      </c>
      <c r="GN23" s="113">
        <v>0</v>
      </c>
      <c r="GO23" s="113">
        <v>0</v>
      </c>
      <c r="GP23" s="113">
        <v>0</v>
      </c>
      <c r="GQ23" s="113">
        <v>0</v>
      </c>
      <c r="GR23" s="113">
        <v>0</v>
      </c>
      <c r="GS23" s="113">
        <v>0</v>
      </c>
      <c r="GT23" s="113">
        <v>0</v>
      </c>
      <c r="GU23" s="113">
        <v>0</v>
      </c>
      <c r="GV23" s="113">
        <v>0</v>
      </c>
      <c r="GW23" s="113">
        <v>0</v>
      </c>
      <c r="GX23" s="113">
        <v>0</v>
      </c>
      <c r="GY23" s="113">
        <v>0</v>
      </c>
      <c r="GZ23" s="113">
        <v>0</v>
      </c>
      <c r="HA23" s="113">
        <v>0</v>
      </c>
      <c r="HB23" s="113">
        <v>0</v>
      </c>
      <c r="HC23" s="113">
        <v>0</v>
      </c>
      <c r="HD23" s="113">
        <v>0</v>
      </c>
      <c r="HE23" s="113">
        <v>0</v>
      </c>
      <c r="HF23" s="113">
        <v>0</v>
      </c>
      <c r="HG23" s="113">
        <v>0</v>
      </c>
      <c r="HH23" s="113">
        <v>0</v>
      </c>
    </row>
    <row r="24" spans="2:216" s="61" customFormat="1" ht="12" x14ac:dyDescent="0.3">
      <c r="B24" s="112" t="s">
        <v>280</v>
      </c>
      <c r="C24" s="113">
        <v>0</v>
      </c>
      <c r="D24" s="113">
        <v>0</v>
      </c>
      <c r="E24" s="113">
        <v>0</v>
      </c>
      <c r="F24" s="113">
        <v>0</v>
      </c>
      <c r="G24" s="113">
        <v>1</v>
      </c>
      <c r="H24" s="113">
        <v>0</v>
      </c>
      <c r="I24" s="113">
        <v>0</v>
      </c>
      <c r="J24" s="113">
        <v>0</v>
      </c>
      <c r="L24" s="112" t="s">
        <v>280</v>
      </c>
      <c r="M24" s="113">
        <v>0</v>
      </c>
      <c r="N24" s="113">
        <v>0</v>
      </c>
      <c r="O24" s="113">
        <v>0</v>
      </c>
      <c r="P24" s="113">
        <v>0</v>
      </c>
      <c r="Q24" s="113">
        <v>0</v>
      </c>
      <c r="R24" s="113">
        <v>0</v>
      </c>
      <c r="S24" s="113">
        <v>0</v>
      </c>
      <c r="T24" s="113">
        <v>0</v>
      </c>
      <c r="U24" s="113">
        <v>0</v>
      </c>
      <c r="V24" s="113">
        <v>0</v>
      </c>
      <c r="W24" s="113">
        <v>0</v>
      </c>
      <c r="X24" s="113">
        <v>0</v>
      </c>
      <c r="Y24" s="113">
        <v>0</v>
      </c>
      <c r="Z24" s="113">
        <v>0</v>
      </c>
      <c r="AA24" s="113">
        <v>0</v>
      </c>
      <c r="AB24" s="113">
        <v>0</v>
      </c>
      <c r="AC24" s="113">
        <v>0</v>
      </c>
      <c r="AD24" s="113">
        <v>0</v>
      </c>
      <c r="AE24" s="113">
        <v>0</v>
      </c>
      <c r="AF24" s="113">
        <v>0</v>
      </c>
      <c r="AG24" s="113">
        <v>0</v>
      </c>
      <c r="AH24" s="113">
        <v>0</v>
      </c>
      <c r="AI24" s="113">
        <v>0</v>
      </c>
      <c r="AJ24" s="113">
        <v>0</v>
      </c>
      <c r="AK24" s="113">
        <v>0</v>
      </c>
      <c r="AL24" s="113">
        <v>0</v>
      </c>
      <c r="AM24" s="113">
        <v>0</v>
      </c>
      <c r="AN24" s="113">
        <v>0</v>
      </c>
      <c r="AO24" s="113">
        <v>0</v>
      </c>
      <c r="AP24" s="113">
        <v>0</v>
      </c>
      <c r="AQ24" s="113">
        <v>0</v>
      </c>
      <c r="AR24" s="113">
        <v>0</v>
      </c>
      <c r="AS24" s="113">
        <v>0</v>
      </c>
      <c r="AT24" s="113">
        <v>0</v>
      </c>
      <c r="AU24" s="113">
        <v>0</v>
      </c>
      <c r="AV24" s="113">
        <v>0</v>
      </c>
      <c r="AW24" s="113">
        <v>0</v>
      </c>
      <c r="AX24" s="113">
        <v>0</v>
      </c>
      <c r="AY24" s="113">
        <v>0</v>
      </c>
      <c r="AZ24" s="113">
        <v>0</v>
      </c>
      <c r="BA24" s="113">
        <v>0</v>
      </c>
      <c r="BB24" s="113">
        <v>0</v>
      </c>
      <c r="BC24" s="113">
        <v>0</v>
      </c>
      <c r="BD24" s="113">
        <v>0</v>
      </c>
      <c r="BE24" s="113">
        <v>0</v>
      </c>
      <c r="BF24" s="113">
        <v>0</v>
      </c>
      <c r="BG24" s="113">
        <v>0</v>
      </c>
      <c r="BH24" s="113">
        <v>0</v>
      </c>
      <c r="BI24" s="113">
        <v>0</v>
      </c>
      <c r="BJ24" s="113">
        <v>0</v>
      </c>
      <c r="BK24" s="113">
        <v>0</v>
      </c>
      <c r="BL24" s="113">
        <v>0</v>
      </c>
      <c r="BM24" s="113">
        <v>0</v>
      </c>
      <c r="BN24" s="113">
        <v>0</v>
      </c>
      <c r="BO24" s="113">
        <v>0</v>
      </c>
      <c r="BP24" s="113">
        <v>0</v>
      </c>
      <c r="BQ24" s="113">
        <v>0</v>
      </c>
      <c r="BR24" s="113">
        <v>0</v>
      </c>
      <c r="BS24" s="113">
        <v>0</v>
      </c>
      <c r="BT24" s="113">
        <v>0</v>
      </c>
      <c r="BU24" s="113">
        <v>0</v>
      </c>
      <c r="BV24" s="113">
        <v>0</v>
      </c>
      <c r="BW24" s="113">
        <v>0</v>
      </c>
      <c r="BX24" s="113">
        <v>0</v>
      </c>
      <c r="BY24" s="113">
        <v>0</v>
      </c>
      <c r="BZ24" s="113">
        <v>0</v>
      </c>
      <c r="CA24" s="113">
        <v>0</v>
      </c>
      <c r="CB24" s="113">
        <v>0</v>
      </c>
      <c r="CC24" s="113">
        <v>0</v>
      </c>
      <c r="CD24" s="113">
        <v>0</v>
      </c>
      <c r="CE24" s="113">
        <v>0</v>
      </c>
      <c r="CF24" s="113">
        <v>0</v>
      </c>
      <c r="CG24" s="113">
        <v>0</v>
      </c>
      <c r="CH24" s="113">
        <v>0</v>
      </c>
      <c r="CI24" s="113">
        <v>0</v>
      </c>
      <c r="CJ24" s="113">
        <v>0</v>
      </c>
      <c r="CK24" s="113">
        <v>0</v>
      </c>
      <c r="CL24" s="113">
        <v>0</v>
      </c>
      <c r="CM24" s="113">
        <v>0</v>
      </c>
      <c r="CN24" s="113">
        <v>0</v>
      </c>
      <c r="CO24" s="113">
        <v>0</v>
      </c>
      <c r="CP24" s="113">
        <v>0</v>
      </c>
      <c r="CQ24" s="113">
        <v>0</v>
      </c>
      <c r="CR24" s="113">
        <v>0</v>
      </c>
      <c r="CS24" s="113">
        <v>0</v>
      </c>
      <c r="CT24" s="113">
        <v>0</v>
      </c>
      <c r="CU24" s="113">
        <v>0</v>
      </c>
      <c r="CV24" s="113">
        <v>0</v>
      </c>
      <c r="CW24" s="113">
        <v>0</v>
      </c>
      <c r="CX24" s="113">
        <v>0</v>
      </c>
      <c r="CY24" s="113">
        <v>0</v>
      </c>
      <c r="CZ24" s="113">
        <v>0</v>
      </c>
      <c r="DA24" s="113">
        <v>0</v>
      </c>
      <c r="DB24" s="113">
        <v>0</v>
      </c>
      <c r="DC24" s="113">
        <v>0</v>
      </c>
      <c r="DD24" s="113">
        <v>0</v>
      </c>
      <c r="DE24" s="113">
        <v>0</v>
      </c>
      <c r="DF24" s="113">
        <v>0</v>
      </c>
      <c r="DG24" s="113">
        <v>0</v>
      </c>
      <c r="DH24" s="113">
        <v>0</v>
      </c>
      <c r="DI24" s="113">
        <v>0</v>
      </c>
      <c r="DK24" s="112" t="s">
        <v>280</v>
      </c>
      <c r="DL24" s="113">
        <v>0</v>
      </c>
      <c r="DM24" s="113">
        <v>0</v>
      </c>
      <c r="DN24" s="113">
        <v>0</v>
      </c>
      <c r="DO24" s="113">
        <v>0</v>
      </c>
      <c r="DP24" s="113">
        <v>0</v>
      </c>
      <c r="DQ24" s="113">
        <v>0</v>
      </c>
      <c r="DR24" s="113">
        <v>0</v>
      </c>
      <c r="DS24" s="113">
        <v>0</v>
      </c>
      <c r="DT24" s="113">
        <v>0</v>
      </c>
      <c r="DU24" s="113">
        <v>0</v>
      </c>
      <c r="DV24" s="113">
        <v>0</v>
      </c>
      <c r="DW24" s="113">
        <v>0</v>
      </c>
      <c r="DX24" s="113">
        <v>0</v>
      </c>
      <c r="DY24" s="113">
        <v>0</v>
      </c>
      <c r="DZ24" s="113">
        <v>0</v>
      </c>
      <c r="EA24" s="113">
        <v>0</v>
      </c>
      <c r="EB24" s="113">
        <v>0</v>
      </c>
      <c r="EC24" s="113">
        <v>0</v>
      </c>
      <c r="ED24" s="113">
        <v>0</v>
      </c>
      <c r="EE24" s="113">
        <v>0</v>
      </c>
      <c r="EF24" s="113">
        <v>0</v>
      </c>
      <c r="EG24" s="113">
        <v>0</v>
      </c>
      <c r="EH24" s="113">
        <v>0</v>
      </c>
      <c r="EI24" s="113">
        <v>0</v>
      </c>
      <c r="EJ24" s="113">
        <v>0</v>
      </c>
      <c r="EK24" s="113">
        <v>0</v>
      </c>
      <c r="EL24" s="113">
        <v>0</v>
      </c>
      <c r="EM24" s="113">
        <v>0</v>
      </c>
      <c r="EN24" s="113">
        <v>0</v>
      </c>
      <c r="EO24" s="113">
        <v>0</v>
      </c>
      <c r="EP24" s="113">
        <v>0</v>
      </c>
      <c r="EQ24" s="113">
        <v>0</v>
      </c>
      <c r="ER24" s="113">
        <v>0</v>
      </c>
      <c r="ES24" s="113">
        <v>0</v>
      </c>
      <c r="ET24" s="113">
        <v>0</v>
      </c>
      <c r="EU24" s="113">
        <v>0</v>
      </c>
      <c r="EV24" s="113">
        <v>0</v>
      </c>
      <c r="EW24" s="113">
        <v>0</v>
      </c>
      <c r="EX24" s="113">
        <v>0</v>
      </c>
      <c r="EY24" s="113">
        <v>0</v>
      </c>
      <c r="EZ24" s="113">
        <v>0</v>
      </c>
      <c r="FA24" s="113">
        <v>0</v>
      </c>
      <c r="FB24" s="113">
        <v>0</v>
      </c>
      <c r="FC24" s="113">
        <v>0</v>
      </c>
      <c r="FD24" s="113">
        <v>0</v>
      </c>
      <c r="FE24" s="113">
        <v>0</v>
      </c>
      <c r="FF24" s="113">
        <v>0</v>
      </c>
      <c r="FG24" s="113">
        <v>0</v>
      </c>
      <c r="FH24" s="113">
        <v>0</v>
      </c>
      <c r="FI24" s="113">
        <v>0</v>
      </c>
      <c r="FJ24" s="113">
        <v>0</v>
      </c>
      <c r="FK24" s="113">
        <v>0</v>
      </c>
      <c r="FL24" s="113">
        <v>0</v>
      </c>
      <c r="FM24" s="113">
        <v>0</v>
      </c>
      <c r="FN24" s="113">
        <v>0</v>
      </c>
      <c r="FO24" s="113">
        <v>0</v>
      </c>
      <c r="FP24" s="113">
        <v>0</v>
      </c>
      <c r="FQ24" s="113">
        <v>0</v>
      </c>
      <c r="FR24" s="113">
        <v>0</v>
      </c>
      <c r="FS24" s="113">
        <v>0</v>
      </c>
      <c r="FT24" s="113">
        <v>0</v>
      </c>
      <c r="FU24" s="113">
        <v>0</v>
      </c>
      <c r="FV24" s="113">
        <v>0</v>
      </c>
      <c r="FW24" s="113">
        <v>0</v>
      </c>
      <c r="FX24" s="113">
        <v>0</v>
      </c>
      <c r="FY24" s="113">
        <v>0</v>
      </c>
      <c r="FZ24" s="113">
        <v>0</v>
      </c>
      <c r="GA24" s="113">
        <v>0</v>
      </c>
      <c r="GB24" s="113">
        <v>0</v>
      </c>
      <c r="GC24" s="113">
        <v>0</v>
      </c>
      <c r="GD24" s="113">
        <v>0</v>
      </c>
      <c r="GE24" s="113">
        <v>0</v>
      </c>
      <c r="GF24" s="113">
        <v>0</v>
      </c>
      <c r="GG24" s="113">
        <v>0</v>
      </c>
      <c r="GH24" s="113">
        <v>0</v>
      </c>
      <c r="GI24" s="113">
        <v>0</v>
      </c>
      <c r="GJ24" s="113">
        <v>0</v>
      </c>
      <c r="GK24" s="113">
        <v>0</v>
      </c>
      <c r="GL24" s="113">
        <v>0</v>
      </c>
      <c r="GM24" s="113">
        <v>0</v>
      </c>
      <c r="GN24" s="113">
        <v>0</v>
      </c>
      <c r="GO24" s="113">
        <v>0</v>
      </c>
      <c r="GP24" s="113">
        <v>0</v>
      </c>
      <c r="GQ24" s="113">
        <v>0</v>
      </c>
      <c r="GR24" s="113">
        <v>0</v>
      </c>
      <c r="GS24" s="113">
        <v>0</v>
      </c>
      <c r="GT24" s="113">
        <v>0</v>
      </c>
      <c r="GU24" s="113">
        <v>0</v>
      </c>
      <c r="GV24" s="113">
        <v>0</v>
      </c>
      <c r="GW24" s="113">
        <v>0</v>
      </c>
      <c r="GX24" s="113">
        <v>0</v>
      </c>
      <c r="GY24" s="113">
        <v>0</v>
      </c>
      <c r="GZ24" s="113">
        <v>0</v>
      </c>
      <c r="HA24" s="113">
        <v>0</v>
      </c>
      <c r="HB24" s="113">
        <v>0</v>
      </c>
      <c r="HC24" s="113">
        <v>0</v>
      </c>
      <c r="HD24" s="113">
        <v>0</v>
      </c>
      <c r="HE24" s="113">
        <v>0</v>
      </c>
      <c r="HF24" s="113">
        <v>0</v>
      </c>
      <c r="HG24" s="113">
        <v>0</v>
      </c>
      <c r="HH24" s="113">
        <v>0</v>
      </c>
    </row>
    <row r="25" spans="2:216" s="61" customFormat="1" ht="12" x14ac:dyDescent="0.3">
      <c r="B25" s="112" t="s">
        <v>281</v>
      </c>
      <c r="C25" s="113">
        <v>0</v>
      </c>
      <c r="D25" s="113">
        <v>0</v>
      </c>
      <c r="E25" s="113">
        <v>0</v>
      </c>
      <c r="F25" s="113">
        <v>0</v>
      </c>
      <c r="G25" s="113">
        <v>0</v>
      </c>
      <c r="H25" s="113">
        <v>1</v>
      </c>
      <c r="I25" s="113">
        <v>0</v>
      </c>
      <c r="J25" s="113">
        <v>0</v>
      </c>
      <c r="L25" s="112" t="s">
        <v>281</v>
      </c>
      <c r="M25" s="113">
        <v>0</v>
      </c>
      <c r="N25" s="113">
        <v>0</v>
      </c>
      <c r="O25" s="113">
        <v>0</v>
      </c>
      <c r="P25" s="113">
        <v>0</v>
      </c>
      <c r="Q25" s="113">
        <v>0</v>
      </c>
      <c r="R25" s="113">
        <v>0</v>
      </c>
      <c r="S25" s="113">
        <v>0</v>
      </c>
      <c r="T25" s="113">
        <v>0</v>
      </c>
      <c r="U25" s="113">
        <v>0</v>
      </c>
      <c r="V25" s="113">
        <v>0</v>
      </c>
      <c r="W25" s="113">
        <v>0</v>
      </c>
      <c r="X25" s="113">
        <v>0</v>
      </c>
      <c r="Y25" s="113">
        <v>0</v>
      </c>
      <c r="Z25" s="113">
        <v>0</v>
      </c>
      <c r="AA25" s="113">
        <v>0</v>
      </c>
      <c r="AB25" s="113">
        <v>0</v>
      </c>
      <c r="AC25" s="113">
        <v>0</v>
      </c>
      <c r="AD25" s="113">
        <v>0</v>
      </c>
      <c r="AE25" s="113">
        <v>0</v>
      </c>
      <c r="AF25" s="113">
        <v>0</v>
      </c>
      <c r="AG25" s="113">
        <v>0</v>
      </c>
      <c r="AH25" s="113">
        <v>0</v>
      </c>
      <c r="AI25" s="113">
        <v>0</v>
      </c>
      <c r="AJ25" s="113">
        <v>0</v>
      </c>
      <c r="AK25" s="113">
        <v>0</v>
      </c>
      <c r="AL25" s="113">
        <v>0</v>
      </c>
      <c r="AM25" s="113">
        <v>0</v>
      </c>
      <c r="AN25" s="113">
        <v>0</v>
      </c>
      <c r="AO25" s="113">
        <v>0</v>
      </c>
      <c r="AP25" s="113">
        <v>0</v>
      </c>
      <c r="AQ25" s="113">
        <v>0</v>
      </c>
      <c r="AR25" s="113">
        <v>0</v>
      </c>
      <c r="AS25" s="113">
        <v>0</v>
      </c>
      <c r="AT25" s="113">
        <v>0</v>
      </c>
      <c r="AU25" s="113">
        <v>0</v>
      </c>
      <c r="AV25" s="113">
        <v>0</v>
      </c>
      <c r="AW25" s="113">
        <v>0</v>
      </c>
      <c r="AX25" s="113">
        <v>0</v>
      </c>
      <c r="AY25" s="113">
        <v>0</v>
      </c>
      <c r="AZ25" s="113">
        <v>0</v>
      </c>
      <c r="BA25" s="113">
        <v>0</v>
      </c>
      <c r="BB25" s="113">
        <v>0</v>
      </c>
      <c r="BC25" s="113">
        <v>0</v>
      </c>
      <c r="BD25" s="113">
        <v>0</v>
      </c>
      <c r="BE25" s="113">
        <v>0</v>
      </c>
      <c r="BF25" s="113">
        <v>0</v>
      </c>
      <c r="BG25" s="113">
        <v>0</v>
      </c>
      <c r="BH25" s="113">
        <v>0</v>
      </c>
      <c r="BI25" s="113">
        <v>0</v>
      </c>
      <c r="BJ25" s="113">
        <v>0</v>
      </c>
      <c r="BK25" s="113">
        <v>0</v>
      </c>
      <c r="BL25" s="113">
        <v>0</v>
      </c>
      <c r="BM25" s="113">
        <v>0</v>
      </c>
      <c r="BN25" s="113">
        <v>0</v>
      </c>
      <c r="BO25" s="113">
        <v>0</v>
      </c>
      <c r="BP25" s="113">
        <v>0</v>
      </c>
      <c r="BQ25" s="113">
        <v>0</v>
      </c>
      <c r="BR25" s="113">
        <v>0</v>
      </c>
      <c r="BS25" s="113">
        <v>0</v>
      </c>
      <c r="BT25" s="113">
        <v>0</v>
      </c>
      <c r="BU25" s="113">
        <v>0</v>
      </c>
      <c r="BV25" s="113">
        <v>0</v>
      </c>
      <c r="BW25" s="113">
        <v>0</v>
      </c>
      <c r="BX25" s="113">
        <v>0</v>
      </c>
      <c r="BY25" s="113">
        <v>0</v>
      </c>
      <c r="BZ25" s="113">
        <v>0</v>
      </c>
      <c r="CA25" s="113">
        <v>0</v>
      </c>
      <c r="CB25" s="113">
        <v>0</v>
      </c>
      <c r="CC25" s="113">
        <v>0</v>
      </c>
      <c r="CD25" s="113">
        <v>0</v>
      </c>
      <c r="CE25" s="113">
        <v>0</v>
      </c>
      <c r="CF25" s="113">
        <v>0</v>
      </c>
      <c r="CG25" s="113">
        <v>0</v>
      </c>
      <c r="CH25" s="113">
        <v>0</v>
      </c>
      <c r="CI25" s="113">
        <v>0</v>
      </c>
      <c r="CJ25" s="113">
        <v>0</v>
      </c>
      <c r="CK25" s="113">
        <v>0</v>
      </c>
      <c r="CL25" s="113">
        <v>0</v>
      </c>
      <c r="CM25" s="113">
        <v>0</v>
      </c>
      <c r="CN25" s="113">
        <v>0</v>
      </c>
      <c r="CO25" s="113">
        <v>0</v>
      </c>
      <c r="CP25" s="113">
        <v>0</v>
      </c>
      <c r="CQ25" s="113">
        <v>0</v>
      </c>
      <c r="CR25" s="113">
        <v>0</v>
      </c>
      <c r="CS25" s="113">
        <v>0</v>
      </c>
      <c r="CT25" s="113">
        <v>0</v>
      </c>
      <c r="CU25" s="113">
        <v>0</v>
      </c>
      <c r="CV25" s="113">
        <v>0</v>
      </c>
      <c r="CW25" s="113">
        <v>0</v>
      </c>
      <c r="CX25" s="113">
        <v>0</v>
      </c>
      <c r="CY25" s="113">
        <v>0</v>
      </c>
      <c r="CZ25" s="113">
        <v>0</v>
      </c>
      <c r="DA25" s="113">
        <v>0</v>
      </c>
      <c r="DB25" s="113">
        <v>0</v>
      </c>
      <c r="DC25" s="113">
        <v>0</v>
      </c>
      <c r="DD25" s="113">
        <v>0</v>
      </c>
      <c r="DE25" s="113">
        <v>0</v>
      </c>
      <c r="DF25" s="113">
        <v>0</v>
      </c>
      <c r="DG25" s="113">
        <v>0</v>
      </c>
      <c r="DH25" s="113">
        <v>0</v>
      </c>
      <c r="DI25" s="113">
        <v>0</v>
      </c>
      <c r="DK25" s="112" t="s">
        <v>281</v>
      </c>
      <c r="DL25" s="113">
        <v>0</v>
      </c>
      <c r="DM25" s="113">
        <v>0</v>
      </c>
      <c r="DN25" s="113">
        <v>0</v>
      </c>
      <c r="DO25" s="113">
        <v>0</v>
      </c>
      <c r="DP25" s="113">
        <v>0</v>
      </c>
      <c r="DQ25" s="113">
        <v>0</v>
      </c>
      <c r="DR25" s="113">
        <v>0</v>
      </c>
      <c r="DS25" s="113">
        <v>0</v>
      </c>
      <c r="DT25" s="113">
        <v>0</v>
      </c>
      <c r="DU25" s="113">
        <v>0</v>
      </c>
      <c r="DV25" s="113">
        <v>0</v>
      </c>
      <c r="DW25" s="113">
        <v>0</v>
      </c>
      <c r="DX25" s="113">
        <v>0</v>
      </c>
      <c r="DY25" s="113">
        <v>0</v>
      </c>
      <c r="DZ25" s="113">
        <v>0</v>
      </c>
      <c r="EA25" s="113">
        <v>0</v>
      </c>
      <c r="EB25" s="113">
        <v>0</v>
      </c>
      <c r="EC25" s="113">
        <v>0</v>
      </c>
      <c r="ED25" s="113">
        <v>0</v>
      </c>
      <c r="EE25" s="113">
        <v>0</v>
      </c>
      <c r="EF25" s="113">
        <v>0</v>
      </c>
      <c r="EG25" s="113">
        <v>0</v>
      </c>
      <c r="EH25" s="113">
        <v>0</v>
      </c>
      <c r="EI25" s="113">
        <v>0</v>
      </c>
      <c r="EJ25" s="113">
        <v>0</v>
      </c>
      <c r="EK25" s="113">
        <v>0</v>
      </c>
      <c r="EL25" s="113">
        <v>0</v>
      </c>
      <c r="EM25" s="113">
        <v>0</v>
      </c>
      <c r="EN25" s="113">
        <v>0</v>
      </c>
      <c r="EO25" s="113">
        <v>0</v>
      </c>
      <c r="EP25" s="113">
        <v>0</v>
      </c>
      <c r="EQ25" s="113">
        <v>0</v>
      </c>
      <c r="ER25" s="113">
        <v>0</v>
      </c>
      <c r="ES25" s="113">
        <v>0</v>
      </c>
      <c r="ET25" s="113">
        <v>0</v>
      </c>
      <c r="EU25" s="113">
        <v>0</v>
      </c>
      <c r="EV25" s="113">
        <v>0</v>
      </c>
      <c r="EW25" s="113">
        <v>0</v>
      </c>
      <c r="EX25" s="113">
        <v>0</v>
      </c>
      <c r="EY25" s="113">
        <v>0</v>
      </c>
      <c r="EZ25" s="113">
        <v>0</v>
      </c>
      <c r="FA25" s="113">
        <v>0</v>
      </c>
      <c r="FB25" s="113">
        <v>0</v>
      </c>
      <c r="FC25" s="113">
        <v>0</v>
      </c>
      <c r="FD25" s="113">
        <v>0</v>
      </c>
      <c r="FE25" s="113">
        <v>0</v>
      </c>
      <c r="FF25" s="113">
        <v>0</v>
      </c>
      <c r="FG25" s="113">
        <v>0</v>
      </c>
      <c r="FH25" s="113">
        <v>0</v>
      </c>
      <c r="FI25" s="113">
        <v>0</v>
      </c>
      <c r="FJ25" s="113">
        <v>0</v>
      </c>
      <c r="FK25" s="113">
        <v>0</v>
      </c>
      <c r="FL25" s="113">
        <v>0</v>
      </c>
      <c r="FM25" s="113">
        <v>0</v>
      </c>
      <c r="FN25" s="113">
        <v>0</v>
      </c>
      <c r="FO25" s="113">
        <v>0</v>
      </c>
      <c r="FP25" s="113">
        <v>0</v>
      </c>
      <c r="FQ25" s="113">
        <v>0</v>
      </c>
      <c r="FR25" s="113">
        <v>0</v>
      </c>
      <c r="FS25" s="113">
        <v>0</v>
      </c>
      <c r="FT25" s="113">
        <v>0</v>
      </c>
      <c r="FU25" s="113">
        <v>0</v>
      </c>
      <c r="FV25" s="113">
        <v>0</v>
      </c>
      <c r="FW25" s="113">
        <v>0</v>
      </c>
      <c r="FX25" s="113">
        <v>0</v>
      </c>
      <c r="FY25" s="113">
        <v>0</v>
      </c>
      <c r="FZ25" s="113">
        <v>0</v>
      </c>
      <c r="GA25" s="113">
        <v>0</v>
      </c>
      <c r="GB25" s="113">
        <v>0</v>
      </c>
      <c r="GC25" s="113">
        <v>0</v>
      </c>
      <c r="GD25" s="113">
        <v>0</v>
      </c>
      <c r="GE25" s="113">
        <v>0</v>
      </c>
      <c r="GF25" s="113">
        <v>0</v>
      </c>
      <c r="GG25" s="113">
        <v>0</v>
      </c>
      <c r="GH25" s="113">
        <v>0</v>
      </c>
      <c r="GI25" s="113">
        <v>0</v>
      </c>
      <c r="GJ25" s="113">
        <v>0</v>
      </c>
      <c r="GK25" s="113">
        <v>0</v>
      </c>
      <c r="GL25" s="113">
        <v>0</v>
      </c>
      <c r="GM25" s="113">
        <v>0</v>
      </c>
      <c r="GN25" s="113">
        <v>0</v>
      </c>
      <c r="GO25" s="113">
        <v>0</v>
      </c>
      <c r="GP25" s="113">
        <v>0</v>
      </c>
      <c r="GQ25" s="113">
        <v>0</v>
      </c>
      <c r="GR25" s="113">
        <v>0</v>
      </c>
      <c r="GS25" s="113">
        <v>0</v>
      </c>
      <c r="GT25" s="113">
        <v>0</v>
      </c>
      <c r="GU25" s="113">
        <v>0</v>
      </c>
      <c r="GV25" s="113">
        <v>0</v>
      </c>
      <c r="GW25" s="113">
        <v>0</v>
      </c>
      <c r="GX25" s="113">
        <v>0</v>
      </c>
      <c r="GY25" s="113">
        <v>0</v>
      </c>
      <c r="GZ25" s="113">
        <v>0</v>
      </c>
      <c r="HA25" s="113">
        <v>0</v>
      </c>
      <c r="HB25" s="113">
        <v>0</v>
      </c>
      <c r="HC25" s="113">
        <v>0</v>
      </c>
      <c r="HD25" s="113">
        <v>0</v>
      </c>
      <c r="HE25" s="113">
        <v>0</v>
      </c>
      <c r="HF25" s="113">
        <v>0</v>
      </c>
      <c r="HG25" s="113">
        <v>0</v>
      </c>
      <c r="HH25" s="113">
        <v>0</v>
      </c>
    </row>
    <row r="26" spans="2:216" s="61" customFormat="1" ht="12" x14ac:dyDescent="0.3">
      <c r="B26" s="112" t="s">
        <v>282</v>
      </c>
      <c r="C26" s="113">
        <v>0</v>
      </c>
      <c r="D26" s="113">
        <v>0</v>
      </c>
      <c r="E26" s="113">
        <v>0</v>
      </c>
      <c r="F26" s="113">
        <v>0</v>
      </c>
      <c r="G26" s="113">
        <v>0</v>
      </c>
      <c r="H26" s="113">
        <v>0</v>
      </c>
      <c r="I26" s="113">
        <v>1</v>
      </c>
      <c r="J26" s="114">
        <v>0</v>
      </c>
      <c r="L26" s="112" t="s">
        <v>282</v>
      </c>
      <c r="M26" s="113">
        <v>0</v>
      </c>
      <c r="N26" s="113">
        <v>0</v>
      </c>
      <c r="O26" s="113">
        <v>0</v>
      </c>
      <c r="P26" s="113">
        <v>0</v>
      </c>
      <c r="Q26" s="113">
        <v>0</v>
      </c>
      <c r="R26" s="113">
        <v>0</v>
      </c>
      <c r="S26" s="113">
        <v>0</v>
      </c>
      <c r="T26" s="113">
        <v>0</v>
      </c>
      <c r="U26" s="113">
        <v>0</v>
      </c>
      <c r="V26" s="113">
        <v>0</v>
      </c>
      <c r="W26" s="113">
        <v>0</v>
      </c>
      <c r="X26" s="113">
        <v>0</v>
      </c>
      <c r="Y26" s="113">
        <v>0</v>
      </c>
      <c r="Z26" s="113">
        <v>0</v>
      </c>
      <c r="AA26" s="113">
        <v>0</v>
      </c>
      <c r="AB26" s="113">
        <v>0</v>
      </c>
      <c r="AC26" s="113">
        <v>0</v>
      </c>
      <c r="AD26" s="113">
        <v>0</v>
      </c>
      <c r="AE26" s="113">
        <v>0</v>
      </c>
      <c r="AF26" s="113">
        <v>0</v>
      </c>
      <c r="AG26" s="113">
        <v>0</v>
      </c>
      <c r="AH26" s="113">
        <v>0</v>
      </c>
      <c r="AI26" s="113">
        <v>0</v>
      </c>
      <c r="AJ26" s="113">
        <v>0</v>
      </c>
      <c r="AK26" s="113">
        <v>0</v>
      </c>
      <c r="AL26" s="113">
        <v>0</v>
      </c>
      <c r="AM26" s="113">
        <v>0</v>
      </c>
      <c r="AN26" s="113">
        <v>0</v>
      </c>
      <c r="AO26" s="113">
        <v>0</v>
      </c>
      <c r="AP26" s="113">
        <v>0</v>
      </c>
      <c r="AQ26" s="113">
        <v>0</v>
      </c>
      <c r="AR26" s="113">
        <v>0</v>
      </c>
      <c r="AS26" s="113">
        <v>0</v>
      </c>
      <c r="AT26" s="113">
        <v>0</v>
      </c>
      <c r="AU26" s="113">
        <v>0</v>
      </c>
      <c r="AV26" s="113">
        <v>0</v>
      </c>
      <c r="AW26" s="113">
        <v>0</v>
      </c>
      <c r="AX26" s="113">
        <v>0</v>
      </c>
      <c r="AY26" s="113">
        <v>0</v>
      </c>
      <c r="AZ26" s="113">
        <v>0</v>
      </c>
      <c r="BA26" s="113">
        <v>0</v>
      </c>
      <c r="BB26" s="113">
        <v>0</v>
      </c>
      <c r="BC26" s="113">
        <v>0</v>
      </c>
      <c r="BD26" s="113">
        <v>0</v>
      </c>
      <c r="BE26" s="113">
        <v>0</v>
      </c>
      <c r="BF26" s="113">
        <v>0</v>
      </c>
      <c r="BG26" s="113">
        <v>0</v>
      </c>
      <c r="BH26" s="113">
        <v>0</v>
      </c>
      <c r="BI26" s="113">
        <v>0</v>
      </c>
      <c r="BJ26" s="113">
        <v>0</v>
      </c>
      <c r="BK26" s="113">
        <v>0</v>
      </c>
      <c r="BL26" s="113">
        <v>0</v>
      </c>
      <c r="BM26" s="113">
        <v>0</v>
      </c>
      <c r="BN26" s="113">
        <v>0</v>
      </c>
      <c r="BO26" s="113">
        <v>0</v>
      </c>
      <c r="BP26" s="113">
        <v>0</v>
      </c>
      <c r="BQ26" s="113">
        <v>0</v>
      </c>
      <c r="BR26" s="113">
        <v>0</v>
      </c>
      <c r="BS26" s="113">
        <v>0</v>
      </c>
      <c r="BT26" s="113">
        <v>0</v>
      </c>
      <c r="BU26" s="113">
        <v>0</v>
      </c>
      <c r="BV26" s="113">
        <v>0</v>
      </c>
      <c r="BW26" s="113">
        <v>0</v>
      </c>
      <c r="BX26" s="113">
        <v>0</v>
      </c>
      <c r="BY26" s="113">
        <v>0</v>
      </c>
      <c r="BZ26" s="113">
        <v>0</v>
      </c>
      <c r="CA26" s="113">
        <v>0</v>
      </c>
      <c r="CB26" s="113">
        <v>0</v>
      </c>
      <c r="CC26" s="113">
        <v>0</v>
      </c>
      <c r="CD26" s="113">
        <v>0</v>
      </c>
      <c r="CE26" s="113">
        <v>0</v>
      </c>
      <c r="CF26" s="113">
        <v>0</v>
      </c>
      <c r="CG26" s="113">
        <v>0</v>
      </c>
      <c r="CH26" s="113">
        <v>0</v>
      </c>
      <c r="CI26" s="113">
        <v>0</v>
      </c>
      <c r="CJ26" s="113">
        <v>0</v>
      </c>
      <c r="CK26" s="113">
        <v>0</v>
      </c>
      <c r="CL26" s="113">
        <v>0</v>
      </c>
      <c r="CM26" s="113">
        <v>0</v>
      </c>
      <c r="CN26" s="113">
        <v>0</v>
      </c>
      <c r="CO26" s="113">
        <v>0</v>
      </c>
      <c r="CP26" s="113">
        <v>0</v>
      </c>
      <c r="CQ26" s="113">
        <v>0</v>
      </c>
      <c r="CR26" s="113">
        <v>0</v>
      </c>
      <c r="CS26" s="113">
        <v>0</v>
      </c>
      <c r="CT26" s="113">
        <v>0</v>
      </c>
      <c r="CU26" s="113">
        <v>0</v>
      </c>
      <c r="CV26" s="113">
        <v>0</v>
      </c>
      <c r="CW26" s="113">
        <v>0</v>
      </c>
      <c r="CX26" s="113">
        <v>0</v>
      </c>
      <c r="CY26" s="113">
        <v>0</v>
      </c>
      <c r="CZ26" s="113">
        <v>0</v>
      </c>
      <c r="DA26" s="113">
        <v>0</v>
      </c>
      <c r="DB26" s="113">
        <v>0</v>
      </c>
      <c r="DC26" s="113">
        <v>0</v>
      </c>
      <c r="DD26" s="113">
        <v>0</v>
      </c>
      <c r="DE26" s="113">
        <v>0</v>
      </c>
      <c r="DF26" s="113">
        <v>0</v>
      </c>
      <c r="DG26" s="113">
        <v>0</v>
      </c>
      <c r="DH26" s="113">
        <v>0</v>
      </c>
      <c r="DI26" s="113">
        <v>0</v>
      </c>
      <c r="DK26" s="112" t="s">
        <v>282</v>
      </c>
      <c r="DL26" s="113">
        <v>0</v>
      </c>
      <c r="DM26" s="113">
        <v>0</v>
      </c>
      <c r="DN26" s="113">
        <v>0</v>
      </c>
      <c r="DO26" s="113">
        <v>0</v>
      </c>
      <c r="DP26" s="113">
        <v>0</v>
      </c>
      <c r="DQ26" s="113">
        <v>0</v>
      </c>
      <c r="DR26" s="113">
        <v>0</v>
      </c>
      <c r="DS26" s="113">
        <v>0</v>
      </c>
      <c r="DT26" s="113">
        <v>0</v>
      </c>
      <c r="DU26" s="113">
        <v>0</v>
      </c>
      <c r="DV26" s="113">
        <v>0</v>
      </c>
      <c r="DW26" s="113">
        <v>0</v>
      </c>
      <c r="DX26" s="113">
        <v>0</v>
      </c>
      <c r="DY26" s="113">
        <v>0</v>
      </c>
      <c r="DZ26" s="113">
        <v>0</v>
      </c>
      <c r="EA26" s="113">
        <v>0</v>
      </c>
      <c r="EB26" s="113">
        <v>0</v>
      </c>
      <c r="EC26" s="113">
        <v>0</v>
      </c>
      <c r="ED26" s="113">
        <v>0</v>
      </c>
      <c r="EE26" s="113">
        <v>0</v>
      </c>
      <c r="EF26" s="113">
        <v>0</v>
      </c>
      <c r="EG26" s="113">
        <v>0</v>
      </c>
      <c r="EH26" s="113">
        <v>0</v>
      </c>
      <c r="EI26" s="113">
        <v>0</v>
      </c>
      <c r="EJ26" s="113">
        <v>0</v>
      </c>
      <c r="EK26" s="113">
        <v>0</v>
      </c>
      <c r="EL26" s="113">
        <v>0</v>
      </c>
      <c r="EM26" s="113">
        <v>0</v>
      </c>
      <c r="EN26" s="113">
        <v>0</v>
      </c>
      <c r="EO26" s="113">
        <v>0</v>
      </c>
      <c r="EP26" s="113">
        <v>0</v>
      </c>
      <c r="EQ26" s="113">
        <v>0</v>
      </c>
      <c r="ER26" s="113">
        <v>0</v>
      </c>
      <c r="ES26" s="113">
        <v>0</v>
      </c>
      <c r="ET26" s="113">
        <v>0</v>
      </c>
      <c r="EU26" s="113">
        <v>0</v>
      </c>
      <c r="EV26" s="113">
        <v>0</v>
      </c>
      <c r="EW26" s="113">
        <v>0</v>
      </c>
      <c r="EX26" s="113">
        <v>0</v>
      </c>
      <c r="EY26" s="113">
        <v>0</v>
      </c>
      <c r="EZ26" s="113">
        <v>0</v>
      </c>
      <c r="FA26" s="113">
        <v>0</v>
      </c>
      <c r="FB26" s="113">
        <v>0</v>
      </c>
      <c r="FC26" s="113">
        <v>0</v>
      </c>
      <c r="FD26" s="113">
        <v>0</v>
      </c>
      <c r="FE26" s="113">
        <v>0</v>
      </c>
      <c r="FF26" s="113">
        <v>0</v>
      </c>
      <c r="FG26" s="113">
        <v>0</v>
      </c>
      <c r="FH26" s="113">
        <v>0</v>
      </c>
      <c r="FI26" s="113">
        <v>0</v>
      </c>
      <c r="FJ26" s="113">
        <v>0</v>
      </c>
      <c r="FK26" s="113">
        <v>0</v>
      </c>
      <c r="FL26" s="113">
        <v>0</v>
      </c>
      <c r="FM26" s="113">
        <v>0</v>
      </c>
      <c r="FN26" s="113">
        <v>0</v>
      </c>
      <c r="FO26" s="113">
        <v>0</v>
      </c>
      <c r="FP26" s="113">
        <v>0</v>
      </c>
      <c r="FQ26" s="113">
        <v>0</v>
      </c>
      <c r="FR26" s="113">
        <v>0</v>
      </c>
      <c r="FS26" s="113">
        <v>0</v>
      </c>
      <c r="FT26" s="113">
        <v>0</v>
      </c>
      <c r="FU26" s="113">
        <v>0</v>
      </c>
      <c r="FV26" s="113">
        <v>0</v>
      </c>
      <c r="FW26" s="113">
        <v>0</v>
      </c>
      <c r="FX26" s="113">
        <v>0</v>
      </c>
      <c r="FY26" s="113">
        <v>0</v>
      </c>
      <c r="FZ26" s="113">
        <v>0</v>
      </c>
      <c r="GA26" s="113">
        <v>0</v>
      </c>
      <c r="GB26" s="113">
        <v>0</v>
      </c>
      <c r="GC26" s="113">
        <v>0</v>
      </c>
      <c r="GD26" s="113">
        <v>0</v>
      </c>
      <c r="GE26" s="113">
        <v>0</v>
      </c>
      <c r="GF26" s="113">
        <v>0</v>
      </c>
      <c r="GG26" s="113">
        <v>0</v>
      </c>
      <c r="GH26" s="113">
        <v>0</v>
      </c>
      <c r="GI26" s="113">
        <v>0</v>
      </c>
      <c r="GJ26" s="113">
        <v>0</v>
      </c>
      <c r="GK26" s="113">
        <v>0</v>
      </c>
      <c r="GL26" s="113">
        <v>0</v>
      </c>
      <c r="GM26" s="113">
        <v>0</v>
      </c>
      <c r="GN26" s="113">
        <v>0</v>
      </c>
      <c r="GO26" s="113">
        <v>0</v>
      </c>
      <c r="GP26" s="113">
        <v>0</v>
      </c>
      <c r="GQ26" s="113">
        <v>0</v>
      </c>
      <c r="GR26" s="113">
        <v>0</v>
      </c>
      <c r="GS26" s="113">
        <v>0</v>
      </c>
      <c r="GT26" s="113">
        <v>0</v>
      </c>
      <c r="GU26" s="113">
        <v>0</v>
      </c>
      <c r="GV26" s="113">
        <v>0</v>
      </c>
      <c r="GW26" s="113">
        <v>0</v>
      </c>
      <c r="GX26" s="113">
        <v>0</v>
      </c>
      <c r="GY26" s="113">
        <v>0</v>
      </c>
      <c r="GZ26" s="113">
        <v>0</v>
      </c>
      <c r="HA26" s="113">
        <v>0</v>
      </c>
      <c r="HB26" s="113">
        <v>0</v>
      </c>
      <c r="HC26" s="113">
        <v>0</v>
      </c>
      <c r="HD26" s="113">
        <v>0</v>
      </c>
      <c r="HE26" s="113">
        <v>0</v>
      </c>
      <c r="HF26" s="113">
        <v>0</v>
      </c>
      <c r="HG26" s="113">
        <v>0</v>
      </c>
      <c r="HH26" s="113">
        <v>0</v>
      </c>
    </row>
    <row r="27" spans="2:216" s="61" customFormat="1" ht="12" x14ac:dyDescent="0.3"/>
    <row r="28" spans="2:216" s="61" customFormat="1" ht="12" x14ac:dyDescent="0.3"/>
    <row r="29" spans="2:216" s="61" customFormat="1" ht="12" x14ac:dyDescent="0.3">
      <c r="B29" s="61" t="s">
        <v>285</v>
      </c>
      <c r="L29" s="61" t="s">
        <v>286</v>
      </c>
      <c r="DK29" s="61" t="s">
        <v>286</v>
      </c>
    </row>
    <row r="30" spans="2:216" s="61" customFormat="1" ht="12" x14ac:dyDescent="0.3">
      <c r="B30" s="110" t="s">
        <v>275</v>
      </c>
      <c r="C30" s="111" t="s">
        <v>276</v>
      </c>
      <c r="D30" s="111" t="s">
        <v>277</v>
      </c>
      <c r="E30" s="111" t="s">
        <v>278</v>
      </c>
      <c r="F30" s="111" t="s">
        <v>279</v>
      </c>
      <c r="G30" s="110" t="s">
        <v>280</v>
      </c>
      <c r="H30" s="111" t="s">
        <v>281</v>
      </c>
      <c r="I30" s="111" t="s">
        <v>282</v>
      </c>
      <c r="J30" s="111" t="s">
        <v>98</v>
      </c>
      <c r="L30" s="110" t="s">
        <v>275</v>
      </c>
      <c r="M30" s="115">
        <v>0</v>
      </c>
      <c r="N30" s="115">
        <v>1</v>
      </c>
      <c r="O30" s="115">
        <v>2</v>
      </c>
      <c r="P30" s="115">
        <v>3</v>
      </c>
      <c r="Q30" s="115">
        <v>4</v>
      </c>
      <c r="R30" s="115">
        <v>5</v>
      </c>
      <c r="S30" s="115">
        <v>6</v>
      </c>
      <c r="T30" s="115">
        <v>7</v>
      </c>
      <c r="U30" s="115">
        <v>8</v>
      </c>
      <c r="V30" s="115">
        <v>9</v>
      </c>
      <c r="W30" s="115">
        <v>10</v>
      </c>
      <c r="X30" s="115">
        <v>11</v>
      </c>
      <c r="Y30" s="115">
        <v>12</v>
      </c>
      <c r="Z30" s="115">
        <v>13</v>
      </c>
      <c r="AA30" s="115">
        <v>14</v>
      </c>
      <c r="AB30" s="115">
        <v>15</v>
      </c>
      <c r="AC30" s="115">
        <v>16</v>
      </c>
      <c r="AD30" s="115">
        <v>17</v>
      </c>
      <c r="AE30" s="115">
        <v>18</v>
      </c>
      <c r="AF30" s="115">
        <v>19</v>
      </c>
      <c r="AG30" s="115">
        <v>20</v>
      </c>
      <c r="AH30" s="115">
        <v>21</v>
      </c>
      <c r="AI30" s="115">
        <v>22</v>
      </c>
      <c r="AJ30" s="115">
        <v>23</v>
      </c>
      <c r="AK30" s="115">
        <v>24</v>
      </c>
      <c r="AL30" s="115">
        <v>25</v>
      </c>
      <c r="AM30" s="115">
        <v>26</v>
      </c>
      <c r="AN30" s="115">
        <v>27</v>
      </c>
      <c r="AO30" s="115">
        <v>28</v>
      </c>
      <c r="AP30" s="115">
        <v>29</v>
      </c>
      <c r="AQ30" s="115">
        <v>30</v>
      </c>
      <c r="AR30" s="115">
        <v>31</v>
      </c>
      <c r="AS30" s="115">
        <v>32</v>
      </c>
      <c r="AT30" s="115">
        <v>33</v>
      </c>
      <c r="AU30" s="115">
        <v>34</v>
      </c>
      <c r="AV30" s="115">
        <v>35</v>
      </c>
      <c r="AW30" s="115">
        <v>36</v>
      </c>
      <c r="AX30" s="115">
        <v>37</v>
      </c>
      <c r="AY30" s="115">
        <v>38</v>
      </c>
      <c r="AZ30" s="115">
        <v>39</v>
      </c>
      <c r="BA30" s="115">
        <v>40</v>
      </c>
      <c r="BB30" s="115">
        <v>41</v>
      </c>
      <c r="BC30" s="115">
        <v>42</v>
      </c>
      <c r="BD30" s="115">
        <v>43</v>
      </c>
      <c r="BE30" s="115">
        <v>44</v>
      </c>
      <c r="BF30" s="115">
        <v>45</v>
      </c>
      <c r="BG30" s="115">
        <v>46</v>
      </c>
      <c r="BH30" s="115">
        <v>47</v>
      </c>
      <c r="BI30" s="115">
        <v>48</v>
      </c>
      <c r="BJ30" s="115">
        <v>49</v>
      </c>
      <c r="BK30" s="115">
        <v>50</v>
      </c>
      <c r="BL30" s="115">
        <v>51</v>
      </c>
      <c r="BM30" s="115">
        <v>52</v>
      </c>
      <c r="BN30" s="115">
        <v>53</v>
      </c>
      <c r="BO30" s="115">
        <v>54</v>
      </c>
      <c r="BP30" s="115">
        <v>55</v>
      </c>
      <c r="BQ30" s="115">
        <v>56</v>
      </c>
      <c r="BR30" s="115">
        <v>57</v>
      </c>
      <c r="BS30" s="115">
        <v>58</v>
      </c>
      <c r="BT30" s="115">
        <v>59</v>
      </c>
      <c r="BU30" s="115">
        <v>60</v>
      </c>
      <c r="BV30" s="115">
        <v>61</v>
      </c>
      <c r="BW30" s="115">
        <v>62</v>
      </c>
      <c r="BX30" s="115">
        <v>63</v>
      </c>
      <c r="BY30" s="115">
        <v>64</v>
      </c>
      <c r="BZ30" s="115">
        <v>65</v>
      </c>
      <c r="CA30" s="115">
        <v>66</v>
      </c>
      <c r="CB30" s="115">
        <v>67</v>
      </c>
      <c r="CC30" s="115">
        <v>68</v>
      </c>
      <c r="CD30" s="115">
        <v>69</v>
      </c>
      <c r="CE30" s="115">
        <v>70</v>
      </c>
      <c r="CF30" s="115">
        <v>71</v>
      </c>
      <c r="CG30" s="115">
        <v>72</v>
      </c>
      <c r="CH30" s="115">
        <v>73</v>
      </c>
      <c r="CI30" s="115">
        <v>74</v>
      </c>
      <c r="CJ30" s="115">
        <v>75</v>
      </c>
      <c r="CK30" s="115">
        <v>76</v>
      </c>
      <c r="CL30" s="115">
        <v>77</v>
      </c>
      <c r="CM30" s="115">
        <v>78</v>
      </c>
      <c r="CN30" s="115">
        <v>79</v>
      </c>
      <c r="CO30" s="115">
        <v>80</v>
      </c>
      <c r="CP30" s="115">
        <v>81</v>
      </c>
      <c r="CQ30" s="115">
        <v>82</v>
      </c>
      <c r="CR30" s="115">
        <v>83</v>
      </c>
      <c r="CS30" s="115">
        <v>84</v>
      </c>
      <c r="CT30" s="115">
        <v>85</v>
      </c>
      <c r="CU30" s="115">
        <v>86</v>
      </c>
      <c r="CV30" s="115">
        <v>87</v>
      </c>
      <c r="CW30" s="115">
        <v>88</v>
      </c>
      <c r="CX30" s="115">
        <v>89</v>
      </c>
      <c r="CY30" s="115">
        <v>90</v>
      </c>
      <c r="CZ30" s="115">
        <v>91</v>
      </c>
      <c r="DA30" s="115">
        <v>92</v>
      </c>
      <c r="DB30" s="115">
        <v>93</v>
      </c>
      <c r="DC30" s="115">
        <v>94</v>
      </c>
      <c r="DD30" s="115">
        <v>95</v>
      </c>
      <c r="DE30" s="115">
        <v>96</v>
      </c>
      <c r="DF30" s="115">
        <v>97</v>
      </c>
      <c r="DG30" s="115">
        <v>98</v>
      </c>
      <c r="DH30" s="115">
        <v>99</v>
      </c>
      <c r="DI30" s="115">
        <v>100</v>
      </c>
      <c r="DK30" s="110" t="s">
        <v>275</v>
      </c>
      <c r="DL30" s="115">
        <v>0</v>
      </c>
      <c r="DM30" s="115">
        <v>1</v>
      </c>
      <c r="DN30" s="115">
        <v>2</v>
      </c>
      <c r="DO30" s="115">
        <v>3</v>
      </c>
      <c r="DP30" s="115">
        <v>4</v>
      </c>
      <c r="DQ30" s="115">
        <v>5</v>
      </c>
      <c r="DR30" s="115">
        <v>6</v>
      </c>
      <c r="DS30" s="115">
        <v>7</v>
      </c>
      <c r="DT30" s="115">
        <v>8</v>
      </c>
      <c r="DU30" s="115">
        <v>9</v>
      </c>
      <c r="DV30" s="115">
        <v>10</v>
      </c>
      <c r="DW30" s="115">
        <v>11</v>
      </c>
      <c r="DX30" s="115">
        <v>12</v>
      </c>
      <c r="DY30" s="115">
        <v>13</v>
      </c>
      <c r="DZ30" s="115">
        <v>14</v>
      </c>
      <c r="EA30" s="115">
        <v>15</v>
      </c>
      <c r="EB30" s="115">
        <v>16</v>
      </c>
      <c r="EC30" s="115">
        <v>17</v>
      </c>
      <c r="ED30" s="115">
        <v>18</v>
      </c>
      <c r="EE30" s="115">
        <v>19</v>
      </c>
      <c r="EF30" s="115">
        <v>20</v>
      </c>
      <c r="EG30" s="115">
        <v>21</v>
      </c>
      <c r="EH30" s="115">
        <v>22</v>
      </c>
      <c r="EI30" s="115">
        <v>23</v>
      </c>
      <c r="EJ30" s="115">
        <v>24</v>
      </c>
      <c r="EK30" s="115">
        <v>25</v>
      </c>
      <c r="EL30" s="115">
        <v>26</v>
      </c>
      <c r="EM30" s="115">
        <v>27</v>
      </c>
      <c r="EN30" s="115">
        <v>28</v>
      </c>
      <c r="EO30" s="115">
        <v>29</v>
      </c>
      <c r="EP30" s="115">
        <v>30</v>
      </c>
      <c r="EQ30" s="115">
        <v>31</v>
      </c>
      <c r="ER30" s="115">
        <v>32</v>
      </c>
      <c r="ES30" s="115">
        <v>33</v>
      </c>
      <c r="ET30" s="115">
        <v>34</v>
      </c>
      <c r="EU30" s="115">
        <v>35</v>
      </c>
      <c r="EV30" s="115">
        <v>36</v>
      </c>
      <c r="EW30" s="115">
        <v>37</v>
      </c>
      <c r="EX30" s="115">
        <v>38</v>
      </c>
      <c r="EY30" s="115">
        <v>39</v>
      </c>
      <c r="EZ30" s="115">
        <v>40</v>
      </c>
      <c r="FA30" s="115">
        <v>41</v>
      </c>
      <c r="FB30" s="115">
        <v>42</v>
      </c>
      <c r="FC30" s="115">
        <v>43</v>
      </c>
      <c r="FD30" s="115">
        <v>44</v>
      </c>
      <c r="FE30" s="115">
        <v>45</v>
      </c>
      <c r="FF30" s="115">
        <v>46</v>
      </c>
      <c r="FG30" s="115">
        <v>47</v>
      </c>
      <c r="FH30" s="115">
        <v>48</v>
      </c>
      <c r="FI30" s="115">
        <v>49</v>
      </c>
      <c r="FJ30" s="115">
        <v>50</v>
      </c>
      <c r="FK30" s="115">
        <v>51</v>
      </c>
      <c r="FL30" s="115">
        <v>52</v>
      </c>
      <c r="FM30" s="115">
        <v>53</v>
      </c>
      <c r="FN30" s="115">
        <v>54</v>
      </c>
      <c r="FO30" s="115">
        <v>55</v>
      </c>
      <c r="FP30" s="115">
        <v>56</v>
      </c>
      <c r="FQ30" s="115">
        <v>57</v>
      </c>
      <c r="FR30" s="115">
        <v>58</v>
      </c>
      <c r="FS30" s="115">
        <v>59</v>
      </c>
      <c r="FT30" s="115">
        <v>60</v>
      </c>
      <c r="FU30" s="115">
        <v>61</v>
      </c>
      <c r="FV30" s="115">
        <v>62</v>
      </c>
      <c r="FW30" s="115">
        <v>63</v>
      </c>
      <c r="FX30" s="115">
        <v>64</v>
      </c>
      <c r="FY30" s="115">
        <v>65</v>
      </c>
      <c r="FZ30" s="115">
        <v>66</v>
      </c>
      <c r="GA30" s="115">
        <v>67</v>
      </c>
      <c r="GB30" s="115">
        <v>68</v>
      </c>
      <c r="GC30" s="115">
        <v>69</v>
      </c>
      <c r="GD30" s="115">
        <v>70</v>
      </c>
      <c r="GE30" s="115">
        <v>71</v>
      </c>
      <c r="GF30" s="115">
        <v>72</v>
      </c>
      <c r="GG30" s="115">
        <v>73</v>
      </c>
      <c r="GH30" s="115">
        <v>74</v>
      </c>
      <c r="GI30" s="115">
        <v>75</v>
      </c>
      <c r="GJ30" s="115">
        <v>76</v>
      </c>
      <c r="GK30" s="115">
        <v>77</v>
      </c>
      <c r="GL30" s="115">
        <v>78</v>
      </c>
      <c r="GM30" s="115">
        <v>79</v>
      </c>
      <c r="GN30" s="115">
        <v>80</v>
      </c>
      <c r="GO30" s="115">
        <v>81</v>
      </c>
      <c r="GP30" s="115">
        <v>82</v>
      </c>
      <c r="GQ30" s="115">
        <v>83</v>
      </c>
      <c r="GR30" s="115">
        <v>84</v>
      </c>
      <c r="GS30" s="115">
        <v>85</v>
      </c>
      <c r="GT30" s="115">
        <v>86</v>
      </c>
      <c r="GU30" s="115">
        <v>87</v>
      </c>
      <c r="GV30" s="115">
        <v>88</v>
      </c>
      <c r="GW30" s="115">
        <v>89</v>
      </c>
      <c r="GX30" s="115">
        <v>90</v>
      </c>
      <c r="GY30" s="115">
        <v>91</v>
      </c>
      <c r="GZ30" s="115">
        <v>92</v>
      </c>
      <c r="HA30" s="115">
        <v>93</v>
      </c>
      <c r="HB30" s="115">
        <v>94</v>
      </c>
      <c r="HC30" s="115">
        <v>95</v>
      </c>
      <c r="HD30" s="115">
        <v>96</v>
      </c>
      <c r="HE30" s="115">
        <v>97</v>
      </c>
      <c r="HF30" s="115">
        <v>98</v>
      </c>
      <c r="HG30" s="115">
        <v>99</v>
      </c>
      <c r="HH30" s="115">
        <v>100</v>
      </c>
    </row>
    <row r="31" spans="2:216" s="61" customFormat="1" ht="12" x14ac:dyDescent="0.3">
      <c r="B31" s="112" t="s">
        <v>276</v>
      </c>
      <c r="C31" s="113">
        <v>1</v>
      </c>
      <c r="D31" s="113">
        <v>0</v>
      </c>
      <c r="E31" s="113">
        <v>0</v>
      </c>
      <c r="F31" s="113">
        <v>0</v>
      </c>
      <c r="G31" s="113">
        <v>0</v>
      </c>
      <c r="H31" s="113">
        <v>0</v>
      </c>
      <c r="I31" s="113">
        <v>0</v>
      </c>
      <c r="J31" s="113">
        <v>0</v>
      </c>
      <c r="L31" s="112" t="s">
        <v>276</v>
      </c>
      <c r="M31" s="113">
        <v>0</v>
      </c>
      <c r="N31" s="113">
        <v>0</v>
      </c>
      <c r="O31" s="113">
        <v>0</v>
      </c>
      <c r="P31" s="113">
        <v>0</v>
      </c>
      <c r="Q31" s="113">
        <v>0</v>
      </c>
      <c r="R31" s="113">
        <v>0</v>
      </c>
      <c r="S31" s="113">
        <v>0</v>
      </c>
      <c r="T31" s="113">
        <v>0</v>
      </c>
      <c r="U31" s="113">
        <v>0</v>
      </c>
      <c r="V31" s="113">
        <v>0</v>
      </c>
      <c r="W31" s="113">
        <v>0</v>
      </c>
      <c r="X31" s="113">
        <v>0</v>
      </c>
      <c r="Y31" s="113">
        <v>0</v>
      </c>
      <c r="Z31" s="113">
        <v>0</v>
      </c>
      <c r="AA31" s="113">
        <v>0</v>
      </c>
      <c r="AB31" s="113">
        <v>0</v>
      </c>
      <c r="AC31" s="113">
        <v>0</v>
      </c>
      <c r="AD31" s="113">
        <v>0</v>
      </c>
      <c r="AE31" s="113">
        <v>0</v>
      </c>
      <c r="AF31" s="113">
        <v>0</v>
      </c>
      <c r="AG31" s="113">
        <v>0</v>
      </c>
      <c r="AH31" s="113">
        <v>0</v>
      </c>
      <c r="AI31" s="113">
        <v>0</v>
      </c>
      <c r="AJ31" s="113">
        <v>0</v>
      </c>
      <c r="AK31" s="113">
        <v>0</v>
      </c>
      <c r="AL31" s="113">
        <v>0</v>
      </c>
      <c r="AM31" s="113">
        <v>0</v>
      </c>
      <c r="AN31" s="113">
        <v>0</v>
      </c>
      <c r="AO31" s="113">
        <v>0</v>
      </c>
      <c r="AP31" s="113">
        <v>0</v>
      </c>
      <c r="AQ31" s="113">
        <v>0</v>
      </c>
      <c r="AR31" s="113">
        <v>0</v>
      </c>
      <c r="AS31" s="113">
        <v>0</v>
      </c>
      <c r="AT31" s="113">
        <v>0</v>
      </c>
      <c r="AU31" s="113">
        <v>0</v>
      </c>
      <c r="AV31" s="113">
        <v>0</v>
      </c>
      <c r="AW31" s="113">
        <v>0</v>
      </c>
      <c r="AX31" s="113">
        <v>0</v>
      </c>
      <c r="AY31" s="113">
        <v>0</v>
      </c>
      <c r="AZ31" s="113">
        <v>0</v>
      </c>
      <c r="BA31" s="113">
        <v>0</v>
      </c>
      <c r="BB31" s="113">
        <v>0</v>
      </c>
      <c r="BC31" s="113">
        <v>0</v>
      </c>
      <c r="BD31" s="113">
        <v>0</v>
      </c>
      <c r="BE31" s="113">
        <v>0</v>
      </c>
      <c r="BF31" s="113">
        <v>0</v>
      </c>
      <c r="BG31" s="113">
        <v>0</v>
      </c>
      <c r="BH31" s="113">
        <v>0</v>
      </c>
      <c r="BI31" s="113">
        <v>0</v>
      </c>
      <c r="BJ31" s="113">
        <v>0</v>
      </c>
      <c r="BK31" s="113">
        <v>0</v>
      </c>
      <c r="BL31" s="113">
        <v>0</v>
      </c>
      <c r="BM31" s="113">
        <v>0</v>
      </c>
      <c r="BN31" s="113">
        <v>0</v>
      </c>
      <c r="BO31" s="113">
        <v>0</v>
      </c>
      <c r="BP31" s="113">
        <v>0</v>
      </c>
      <c r="BQ31" s="113">
        <v>0</v>
      </c>
      <c r="BR31" s="113">
        <v>0</v>
      </c>
      <c r="BS31" s="113">
        <v>0</v>
      </c>
      <c r="BT31" s="113">
        <v>0</v>
      </c>
      <c r="BU31" s="113">
        <v>0</v>
      </c>
      <c r="BV31" s="113">
        <v>0</v>
      </c>
      <c r="BW31" s="113">
        <v>0</v>
      </c>
      <c r="BX31" s="113">
        <v>0</v>
      </c>
      <c r="BY31" s="113">
        <v>0</v>
      </c>
      <c r="BZ31" s="113">
        <v>0</v>
      </c>
      <c r="CA31" s="113">
        <v>0</v>
      </c>
      <c r="CB31" s="113">
        <v>0</v>
      </c>
      <c r="CC31" s="113">
        <v>0</v>
      </c>
      <c r="CD31" s="113">
        <v>0</v>
      </c>
      <c r="CE31" s="113">
        <v>0</v>
      </c>
      <c r="CF31" s="113">
        <v>0</v>
      </c>
      <c r="CG31" s="113">
        <v>0</v>
      </c>
      <c r="CH31" s="113">
        <v>0</v>
      </c>
      <c r="CI31" s="113">
        <v>0</v>
      </c>
      <c r="CJ31" s="113">
        <v>0</v>
      </c>
      <c r="CK31" s="113">
        <v>0</v>
      </c>
      <c r="CL31" s="113">
        <v>0</v>
      </c>
      <c r="CM31" s="113">
        <v>0</v>
      </c>
      <c r="CN31" s="113">
        <v>0</v>
      </c>
      <c r="CO31" s="113">
        <v>0</v>
      </c>
      <c r="CP31" s="113">
        <v>0</v>
      </c>
      <c r="CQ31" s="113">
        <v>0</v>
      </c>
      <c r="CR31" s="113">
        <v>0</v>
      </c>
      <c r="CS31" s="113">
        <v>0</v>
      </c>
      <c r="CT31" s="113">
        <v>0</v>
      </c>
      <c r="CU31" s="113">
        <v>0</v>
      </c>
      <c r="CV31" s="113">
        <v>0</v>
      </c>
      <c r="CW31" s="113">
        <v>0</v>
      </c>
      <c r="CX31" s="113">
        <v>0</v>
      </c>
      <c r="CY31" s="113">
        <v>0</v>
      </c>
      <c r="CZ31" s="113">
        <v>0</v>
      </c>
      <c r="DA31" s="113">
        <v>0</v>
      </c>
      <c r="DB31" s="113">
        <v>0</v>
      </c>
      <c r="DC31" s="113">
        <v>0</v>
      </c>
      <c r="DD31" s="113">
        <v>0</v>
      </c>
      <c r="DE31" s="113">
        <v>0</v>
      </c>
      <c r="DF31" s="113">
        <v>0</v>
      </c>
      <c r="DG31" s="113">
        <v>0</v>
      </c>
      <c r="DH31" s="113">
        <v>0</v>
      </c>
      <c r="DI31" s="113">
        <v>0</v>
      </c>
      <c r="DK31" s="112" t="s">
        <v>276</v>
      </c>
      <c r="DL31" s="113">
        <v>0</v>
      </c>
      <c r="DM31" s="113">
        <v>0</v>
      </c>
      <c r="DN31" s="113">
        <v>0</v>
      </c>
      <c r="DO31" s="113">
        <v>0</v>
      </c>
      <c r="DP31" s="113">
        <v>0</v>
      </c>
      <c r="DQ31" s="113">
        <v>0</v>
      </c>
      <c r="DR31" s="113">
        <v>0</v>
      </c>
      <c r="DS31" s="113">
        <v>0</v>
      </c>
      <c r="DT31" s="113">
        <v>0</v>
      </c>
      <c r="DU31" s="113">
        <v>0</v>
      </c>
      <c r="DV31" s="113">
        <v>0</v>
      </c>
      <c r="DW31" s="113">
        <v>0</v>
      </c>
      <c r="DX31" s="113">
        <v>0</v>
      </c>
      <c r="DY31" s="113">
        <v>0</v>
      </c>
      <c r="DZ31" s="113">
        <v>0</v>
      </c>
      <c r="EA31" s="113">
        <v>0</v>
      </c>
      <c r="EB31" s="113">
        <v>0</v>
      </c>
      <c r="EC31" s="113">
        <v>0</v>
      </c>
      <c r="ED31" s="113">
        <v>0</v>
      </c>
      <c r="EE31" s="113">
        <v>0</v>
      </c>
      <c r="EF31" s="113">
        <v>0</v>
      </c>
      <c r="EG31" s="113">
        <v>0</v>
      </c>
      <c r="EH31" s="113">
        <v>0</v>
      </c>
      <c r="EI31" s="113">
        <v>0</v>
      </c>
      <c r="EJ31" s="113">
        <v>0</v>
      </c>
      <c r="EK31" s="113">
        <v>0</v>
      </c>
      <c r="EL31" s="113">
        <v>0</v>
      </c>
      <c r="EM31" s="113">
        <v>0</v>
      </c>
      <c r="EN31" s="113">
        <v>0</v>
      </c>
      <c r="EO31" s="113">
        <v>0</v>
      </c>
      <c r="EP31" s="113">
        <v>0</v>
      </c>
      <c r="EQ31" s="113">
        <v>0</v>
      </c>
      <c r="ER31" s="113">
        <v>0</v>
      </c>
      <c r="ES31" s="113">
        <v>0</v>
      </c>
      <c r="ET31" s="113">
        <v>0</v>
      </c>
      <c r="EU31" s="113">
        <v>0</v>
      </c>
      <c r="EV31" s="113">
        <v>0</v>
      </c>
      <c r="EW31" s="113">
        <v>0</v>
      </c>
      <c r="EX31" s="113">
        <v>0</v>
      </c>
      <c r="EY31" s="113">
        <v>0</v>
      </c>
      <c r="EZ31" s="113">
        <v>0</v>
      </c>
      <c r="FA31" s="113">
        <v>0</v>
      </c>
      <c r="FB31" s="113">
        <v>0</v>
      </c>
      <c r="FC31" s="113">
        <v>0</v>
      </c>
      <c r="FD31" s="113">
        <v>0</v>
      </c>
      <c r="FE31" s="113">
        <v>0</v>
      </c>
      <c r="FF31" s="113">
        <v>0</v>
      </c>
      <c r="FG31" s="113">
        <v>0</v>
      </c>
      <c r="FH31" s="113">
        <v>0</v>
      </c>
      <c r="FI31" s="113">
        <v>0</v>
      </c>
      <c r="FJ31" s="113">
        <v>0</v>
      </c>
      <c r="FK31" s="113">
        <v>0</v>
      </c>
      <c r="FL31" s="113">
        <v>0</v>
      </c>
      <c r="FM31" s="113">
        <v>0</v>
      </c>
      <c r="FN31" s="113">
        <v>0</v>
      </c>
      <c r="FO31" s="113">
        <v>0</v>
      </c>
      <c r="FP31" s="113">
        <v>0</v>
      </c>
      <c r="FQ31" s="113">
        <v>0</v>
      </c>
      <c r="FR31" s="113">
        <v>0</v>
      </c>
      <c r="FS31" s="113">
        <v>0</v>
      </c>
      <c r="FT31" s="113">
        <v>0</v>
      </c>
      <c r="FU31" s="113">
        <v>0</v>
      </c>
      <c r="FV31" s="113">
        <v>0</v>
      </c>
      <c r="FW31" s="113">
        <v>0</v>
      </c>
      <c r="FX31" s="113">
        <v>0</v>
      </c>
      <c r="FY31" s="113">
        <v>0</v>
      </c>
      <c r="FZ31" s="113">
        <v>0</v>
      </c>
      <c r="GA31" s="113">
        <v>0</v>
      </c>
      <c r="GB31" s="113">
        <v>0</v>
      </c>
      <c r="GC31" s="113">
        <v>0</v>
      </c>
      <c r="GD31" s="113">
        <v>0</v>
      </c>
      <c r="GE31" s="113">
        <v>0</v>
      </c>
      <c r="GF31" s="113">
        <v>0</v>
      </c>
      <c r="GG31" s="113">
        <v>0</v>
      </c>
      <c r="GH31" s="113">
        <v>0</v>
      </c>
      <c r="GI31" s="113">
        <v>0</v>
      </c>
      <c r="GJ31" s="113">
        <v>0</v>
      </c>
      <c r="GK31" s="113">
        <v>0</v>
      </c>
      <c r="GL31" s="113">
        <v>0</v>
      </c>
      <c r="GM31" s="113">
        <v>0</v>
      </c>
      <c r="GN31" s="113">
        <v>0</v>
      </c>
      <c r="GO31" s="113">
        <v>0</v>
      </c>
      <c r="GP31" s="113">
        <v>0</v>
      </c>
      <c r="GQ31" s="113">
        <v>0</v>
      </c>
      <c r="GR31" s="113">
        <v>0</v>
      </c>
      <c r="GS31" s="113">
        <v>0</v>
      </c>
      <c r="GT31" s="113">
        <v>0</v>
      </c>
      <c r="GU31" s="113">
        <v>0</v>
      </c>
      <c r="GV31" s="113">
        <v>0</v>
      </c>
      <c r="GW31" s="113">
        <v>0</v>
      </c>
      <c r="GX31" s="113">
        <v>0</v>
      </c>
      <c r="GY31" s="113">
        <v>0</v>
      </c>
      <c r="GZ31" s="113">
        <v>0</v>
      </c>
      <c r="HA31" s="113">
        <v>0</v>
      </c>
      <c r="HB31" s="113">
        <v>0</v>
      </c>
      <c r="HC31" s="113">
        <v>0</v>
      </c>
      <c r="HD31" s="113">
        <v>0</v>
      </c>
      <c r="HE31" s="113">
        <v>0</v>
      </c>
      <c r="HF31" s="113">
        <v>0</v>
      </c>
      <c r="HG31" s="113">
        <v>0</v>
      </c>
      <c r="HH31" s="113">
        <v>0</v>
      </c>
    </row>
    <row r="32" spans="2:216" s="61" customFormat="1" ht="12" x14ac:dyDescent="0.3">
      <c r="B32" s="112" t="s">
        <v>277</v>
      </c>
      <c r="C32" s="113">
        <v>0</v>
      </c>
      <c r="D32" s="113">
        <v>1</v>
      </c>
      <c r="E32" s="113">
        <v>0</v>
      </c>
      <c r="F32" s="113">
        <v>0</v>
      </c>
      <c r="G32" s="113">
        <v>0</v>
      </c>
      <c r="H32" s="113">
        <v>0</v>
      </c>
      <c r="I32" s="113">
        <v>0</v>
      </c>
      <c r="J32" s="113">
        <v>0</v>
      </c>
      <c r="L32" s="112" t="s">
        <v>277</v>
      </c>
      <c r="M32" s="113">
        <v>0</v>
      </c>
      <c r="N32" s="113">
        <v>0</v>
      </c>
      <c r="O32" s="113">
        <v>0</v>
      </c>
      <c r="P32" s="113">
        <v>0</v>
      </c>
      <c r="Q32" s="113">
        <v>0</v>
      </c>
      <c r="R32" s="113">
        <v>0</v>
      </c>
      <c r="S32" s="113">
        <v>0</v>
      </c>
      <c r="T32" s="113">
        <v>0</v>
      </c>
      <c r="U32" s="113">
        <v>0</v>
      </c>
      <c r="V32" s="113">
        <v>0</v>
      </c>
      <c r="W32" s="113">
        <v>0</v>
      </c>
      <c r="X32" s="113">
        <v>0</v>
      </c>
      <c r="Y32" s="113">
        <v>0</v>
      </c>
      <c r="Z32" s="113">
        <v>0</v>
      </c>
      <c r="AA32" s="113">
        <v>0</v>
      </c>
      <c r="AB32" s="113">
        <v>0</v>
      </c>
      <c r="AC32" s="113">
        <v>0</v>
      </c>
      <c r="AD32" s="113">
        <v>0</v>
      </c>
      <c r="AE32" s="113">
        <v>0</v>
      </c>
      <c r="AF32" s="113">
        <v>0</v>
      </c>
      <c r="AG32" s="113">
        <v>0</v>
      </c>
      <c r="AH32" s="113">
        <v>0</v>
      </c>
      <c r="AI32" s="113">
        <v>0</v>
      </c>
      <c r="AJ32" s="113">
        <v>0</v>
      </c>
      <c r="AK32" s="113">
        <v>0</v>
      </c>
      <c r="AL32" s="113">
        <v>0</v>
      </c>
      <c r="AM32" s="113">
        <v>0</v>
      </c>
      <c r="AN32" s="113">
        <v>0</v>
      </c>
      <c r="AO32" s="113">
        <v>0</v>
      </c>
      <c r="AP32" s="113">
        <v>0</v>
      </c>
      <c r="AQ32" s="113">
        <v>0</v>
      </c>
      <c r="AR32" s="113">
        <v>0</v>
      </c>
      <c r="AS32" s="113">
        <v>0</v>
      </c>
      <c r="AT32" s="113">
        <v>0</v>
      </c>
      <c r="AU32" s="113">
        <v>0</v>
      </c>
      <c r="AV32" s="113">
        <v>0</v>
      </c>
      <c r="AW32" s="113">
        <v>0</v>
      </c>
      <c r="AX32" s="113">
        <v>0</v>
      </c>
      <c r="AY32" s="113">
        <v>0</v>
      </c>
      <c r="AZ32" s="113">
        <v>0</v>
      </c>
      <c r="BA32" s="113">
        <v>0</v>
      </c>
      <c r="BB32" s="113">
        <v>0</v>
      </c>
      <c r="BC32" s="113">
        <v>0</v>
      </c>
      <c r="BD32" s="113">
        <v>0</v>
      </c>
      <c r="BE32" s="113">
        <v>0</v>
      </c>
      <c r="BF32" s="113">
        <v>0</v>
      </c>
      <c r="BG32" s="113">
        <v>0</v>
      </c>
      <c r="BH32" s="113">
        <v>0</v>
      </c>
      <c r="BI32" s="113">
        <v>0</v>
      </c>
      <c r="BJ32" s="113">
        <v>0</v>
      </c>
      <c r="BK32" s="113">
        <v>0</v>
      </c>
      <c r="BL32" s="113">
        <v>0</v>
      </c>
      <c r="BM32" s="113">
        <v>0</v>
      </c>
      <c r="BN32" s="113">
        <v>0</v>
      </c>
      <c r="BO32" s="113">
        <v>0</v>
      </c>
      <c r="BP32" s="113">
        <v>0</v>
      </c>
      <c r="BQ32" s="113">
        <v>0</v>
      </c>
      <c r="BR32" s="113">
        <v>0</v>
      </c>
      <c r="BS32" s="113">
        <v>0</v>
      </c>
      <c r="BT32" s="113">
        <v>0</v>
      </c>
      <c r="BU32" s="113">
        <v>0</v>
      </c>
      <c r="BV32" s="113">
        <v>0</v>
      </c>
      <c r="BW32" s="113">
        <v>0</v>
      </c>
      <c r="BX32" s="113">
        <v>0</v>
      </c>
      <c r="BY32" s="113">
        <v>0</v>
      </c>
      <c r="BZ32" s="113">
        <v>0</v>
      </c>
      <c r="CA32" s="113">
        <v>0</v>
      </c>
      <c r="CB32" s="113">
        <v>0</v>
      </c>
      <c r="CC32" s="113">
        <v>0</v>
      </c>
      <c r="CD32" s="113">
        <v>0</v>
      </c>
      <c r="CE32" s="113">
        <v>0</v>
      </c>
      <c r="CF32" s="113">
        <v>0</v>
      </c>
      <c r="CG32" s="113">
        <v>0</v>
      </c>
      <c r="CH32" s="113">
        <v>0</v>
      </c>
      <c r="CI32" s="113">
        <v>0</v>
      </c>
      <c r="CJ32" s="113">
        <v>0</v>
      </c>
      <c r="CK32" s="113">
        <v>0</v>
      </c>
      <c r="CL32" s="113">
        <v>0</v>
      </c>
      <c r="CM32" s="113">
        <v>0</v>
      </c>
      <c r="CN32" s="113">
        <v>0</v>
      </c>
      <c r="CO32" s="113">
        <v>0</v>
      </c>
      <c r="CP32" s="113">
        <v>0</v>
      </c>
      <c r="CQ32" s="113">
        <v>0</v>
      </c>
      <c r="CR32" s="113">
        <v>0</v>
      </c>
      <c r="CS32" s="113">
        <v>0</v>
      </c>
      <c r="CT32" s="113">
        <v>0</v>
      </c>
      <c r="CU32" s="113">
        <v>0</v>
      </c>
      <c r="CV32" s="113">
        <v>0</v>
      </c>
      <c r="CW32" s="113">
        <v>0</v>
      </c>
      <c r="CX32" s="113">
        <v>0</v>
      </c>
      <c r="CY32" s="113">
        <v>0</v>
      </c>
      <c r="CZ32" s="113">
        <v>0</v>
      </c>
      <c r="DA32" s="113">
        <v>0</v>
      </c>
      <c r="DB32" s="113">
        <v>0</v>
      </c>
      <c r="DC32" s="113">
        <v>0</v>
      </c>
      <c r="DD32" s="113">
        <v>0</v>
      </c>
      <c r="DE32" s="113">
        <v>0</v>
      </c>
      <c r="DF32" s="113">
        <v>0</v>
      </c>
      <c r="DG32" s="113">
        <v>0</v>
      </c>
      <c r="DH32" s="113">
        <v>0</v>
      </c>
      <c r="DI32" s="113">
        <v>0</v>
      </c>
      <c r="DK32" s="112" t="s">
        <v>277</v>
      </c>
      <c r="DL32" s="113">
        <v>0</v>
      </c>
      <c r="DM32" s="113">
        <v>0</v>
      </c>
      <c r="DN32" s="113">
        <v>0</v>
      </c>
      <c r="DO32" s="113">
        <v>0</v>
      </c>
      <c r="DP32" s="113">
        <v>0</v>
      </c>
      <c r="DQ32" s="113">
        <v>0</v>
      </c>
      <c r="DR32" s="113">
        <v>0</v>
      </c>
      <c r="DS32" s="113">
        <v>0</v>
      </c>
      <c r="DT32" s="113">
        <v>0</v>
      </c>
      <c r="DU32" s="113">
        <v>0</v>
      </c>
      <c r="DV32" s="113">
        <v>0</v>
      </c>
      <c r="DW32" s="113">
        <v>0</v>
      </c>
      <c r="DX32" s="113">
        <v>0</v>
      </c>
      <c r="DY32" s="113">
        <v>0</v>
      </c>
      <c r="DZ32" s="113">
        <v>0</v>
      </c>
      <c r="EA32" s="113">
        <v>0</v>
      </c>
      <c r="EB32" s="113">
        <v>0</v>
      </c>
      <c r="EC32" s="113">
        <v>0</v>
      </c>
      <c r="ED32" s="113">
        <v>0</v>
      </c>
      <c r="EE32" s="113">
        <v>0</v>
      </c>
      <c r="EF32" s="113">
        <v>0</v>
      </c>
      <c r="EG32" s="113">
        <v>0</v>
      </c>
      <c r="EH32" s="113">
        <v>0</v>
      </c>
      <c r="EI32" s="113">
        <v>0</v>
      </c>
      <c r="EJ32" s="113">
        <v>0</v>
      </c>
      <c r="EK32" s="113">
        <v>0</v>
      </c>
      <c r="EL32" s="113">
        <v>0</v>
      </c>
      <c r="EM32" s="113">
        <v>0</v>
      </c>
      <c r="EN32" s="113">
        <v>0</v>
      </c>
      <c r="EO32" s="113">
        <v>0</v>
      </c>
      <c r="EP32" s="113">
        <v>0</v>
      </c>
      <c r="EQ32" s="113">
        <v>0</v>
      </c>
      <c r="ER32" s="113">
        <v>0</v>
      </c>
      <c r="ES32" s="113">
        <v>0</v>
      </c>
      <c r="ET32" s="113">
        <v>0</v>
      </c>
      <c r="EU32" s="113">
        <v>0</v>
      </c>
      <c r="EV32" s="113">
        <v>0</v>
      </c>
      <c r="EW32" s="113">
        <v>0</v>
      </c>
      <c r="EX32" s="113">
        <v>0</v>
      </c>
      <c r="EY32" s="113">
        <v>0</v>
      </c>
      <c r="EZ32" s="113">
        <v>0</v>
      </c>
      <c r="FA32" s="113">
        <v>0</v>
      </c>
      <c r="FB32" s="113">
        <v>0</v>
      </c>
      <c r="FC32" s="113">
        <v>0</v>
      </c>
      <c r="FD32" s="113">
        <v>0</v>
      </c>
      <c r="FE32" s="113">
        <v>0</v>
      </c>
      <c r="FF32" s="113">
        <v>0</v>
      </c>
      <c r="FG32" s="113">
        <v>0</v>
      </c>
      <c r="FH32" s="113">
        <v>0</v>
      </c>
      <c r="FI32" s="113">
        <v>0</v>
      </c>
      <c r="FJ32" s="113">
        <v>0</v>
      </c>
      <c r="FK32" s="113">
        <v>0</v>
      </c>
      <c r="FL32" s="113">
        <v>0</v>
      </c>
      <c r="FM32" s="113">
        <v>0</v>
      </c>
      <c r="FN32" s="113">
        <v>0</v>
      </c>
      <c r="FO32" s="113">
        <v>0</v>
      </c>
      <c r="FP32" s="113">
        <v>0</v>
      </c>
      <c r="FQ32" s="113">
        <v>0</v>
      </c>
      <c r="FR32" s="113">
        <v>0</v>
      </c>
      <c r="FS32" s="113">
        <v>0</v>
      </c>
      <c r="FT32" s="113">
        <v>0</v>
      </c>
      <c r="FU32" s="113">
        <v>0</v>
      </c>
      <c r="FV32" s="113">
        <v>0</v>
      </c>
      <c r="FW32" s="113">
        <v>0</v>
      </c>
      <c r="FX32" s="113">
        <v>0</v>
      </c>
      <c r="FY32" s="113">
        <v>0</v>
      </c>
      <c r="FZ32" s="113">
        <v>0</v>
      </c>
      <c r="GA32" s="113">
        <v>0</v>
      </c>
      <c r="GB32" s="113">
        <v>0</v>
      </c>
      <c r="GC32" s="113">
        <v>0</v>
      </c>
      <c r="GD32" s="113">
        <v>0</v>
      </c>
      <c r="GE32" s="113">
        <v>0</v>
      </c>
      <c r="GF32" s="113">
        <v>0</v>
      </c>
      <c r="GG32" s="113">
        <v>0</v>
      </c>
      <c r="GH32" s="113">
        <v>0</v>
      </c>
      <c r="GI32" s="113">
        <v>0</v>
      </c>
      <c r="GJ32" s="113">
        <v>0</v>
      </c>
      <c r="GK32" s="113">
        <v>0</v>
      </c>
      <c r="GL32" s="113">
        <v>0</v>
      </c>
      <c r="GM32" s="113">
        <v>0</v>
      </c>
      <c r="GN32" s="113">
        <v>0</v>
      </c>
      <c r="GO32" s="113">
        <v>0</v>
      </c>
      <c r="GP32" s="113">
        <v>0</v>
      </c>
      <c r="GQ32" s="113">
        <v>0</v>
      </c>
      <c r="GR32" s="113">
        <v>0</v>
      </c>
      <c r="GS32" s="113">
        <v>0</v>
      </c>
      <c r="GT32" s="113">
        <v>0</v>
      </c>
      <c r="GU32" s="113">
        <v>0</v>
      </c>
      <c r="GV32" s="113">
        <v>0</v>
      </c>
      <c r="GW32" s="113">
        <v>0</v>
      </c>
      <c r="GX32" s="113">
        <v>0</v>
      </c>
      <c r="GY32" s="113">
        <v>0</v>
      </c>
      <c r="GZ32" s="113">
        <v>0</v>
      </c>
      <c r="HA32" s="113">
        <v>0</v>
      </c>
      <c r="HB32" s="113">
        <v>0</v>
      </c>
      <c r="HC32" s="113">
        <v>0</v>
      </c>
      <c r="HD32" s="113">
        <v>0</v>
      </c>
      <c r="HE32" s="113">
        <v>0</v>
      </c>
      <c r="HF32" s="113">
        <v>0</v>
      </c>
      <c r="HG32" s="113">
        <v>0</v>
      </c>
      <c r="HH32" s="113">
        <v>0</v>
      </c>
    </row>
    <row r="33" spans="2:216" s="61" customFormat="1" ht="12" x14ac:dyDescent="0.3">
      <c r="B33" s="112" t="s">
        <v>278</v>
      </c>
      <c r="C33" s="113">
        <v>0</v>
      </c>
      <c r="D33" s="113">
        <v>0</v>
      </c>
      <c r="E33" s="113">
        <v>1</v>
      </c>
      <c r="F33" s="113">
        <v>0</v>
      </c>
      <c r="G33" s="113">
        <v>0</v>
      </c>
      <c r="H33" s="113">
        <v>0</v>
      </c>
      <c r="I33" s="113">
        <v>0</v>
      </c>
      <c r="J33" s="113">
        <v>0</v>
      </c>
      <c r="L33" s="112" t="s">
        <v>278</v>
      </c>
      <c r="M33" s="113">
        <v>0</v>
      </c>
      <c r="N33" s="113">
        <v>0</v>
      </c>
      <c r="O33" s="113">
        <v>0</v>
      </c>
      <c r="P33" s="113">
        <v>0</v>
      </c>
      <c r="Q33" s="113">
        <v>0</v>
      </c>
      <c r="R33" s="113">
        <v>0</v>
      </c>
      <c r="S33" s="113">
        <v>0</v>
      </c>
      <c r="T33" s="113">
        <v>0</v>
      </c>
      <c r="U33" s="113">
        <v>0</v>
      </c>
      <c r="V33" s="113">
        <v>0</v>
      </c>
      <c r="W33" s="113">
        <v>0</v>
      </c>
      <c r="X33" s="113">
        <v>0</v>
      </c>
      <c r="Y33" s="113">
        <v>0</v>
      </c>
      <c r="Z33" s="113">
        <v>0</v>
      </c>
      <c r="AA33" s="113">
        <v>0</v>
      </c>
      <c r="AB33" s="113">
        <v>0</v>
      </c>
      <c r="AC33" s="113">
        <v>0</v>
      </c>
      <c r="AD33" s="113">
        <v>0</v>
      </c>
      <c r="AE33" s="113">
        <v>0</v>
      </c>
      <c r="AF33" s="113">
        <v>0</v>
      </c>
      <c r="AG33" s="113">
        <v>0</v>
      </c>
      <c r="AH33" s="113">
        <v>0</v>
      </c>
      <c r="AI33" s="113">
        <v>0</v>
      </c>
      <c r="AJ33" s="113">
        <v>0</v>
      </c>
      <c r="AK33" s="113">
        <v>0</v>
      </c>
      <c r="AL33" s="113">
        <v>0</v>
      </c>
      <c r="AM33" s="113">
        <v>0</v>
      </c>
      <c r="AN33" s="113">
        <v>0</v>
      </c>
      <c r="AO33" s="113">
        <v>0</v>
      </c>
      <c r="AP33" s="113">
        <v>0</v>
      </c>
      <c r="AQ33" s="113">
        <v>0</v>
      </c>
      <c r="AR33" s="113">
        <v>0</v>
      </c>
      <c r="AS33" s="113">
        <v>0</v>
      </c>
      <c r="AT33" s="113">
        <v>0</v>
      </c>
      <c r="AU33" s="113">
        <v>0</v>
      </c>
      <c r="AV33" s="113">
        <v>0</v>
      </c>
      <c r="AW33" s="113">
        <v>0</v>
      </c>
      <c r="AX33" s="113">
        <v>0</v>
      </c>
      <c r="AY33" s="113">
        <v>0</v>
      </c>
      <c r="AZ33" s="113">
        <v>0</v>
      </c>
      <c r="BA33" s="113">
        <v>0</v>
      </c>
      <c r="BB33" s="113">
        <v>0</v>
      </c>
      <c r="BC33" s="113">
        <v>0</v>
      </c>
      <c r="BD33" s="113">
        <v>0</v>
      </c>
      <c r="BE33" s="113">
        <v>0</v>
      </c>
      <c r="BF33" s="113">
        <v>0</v>
      </c>
      <c r="BG33" s="113">
        <v>0</v>
      </c>
      <c r="BH33" s="113">
        <v>0</v>
      </c>
      <c r="BI33" s="113">
        <v>0</v>
      </c>
      <c r="BJ33" s="113">
        <v>0</v>
      </c>
      <c r="BK33" s="113">
        <v>0</v>
      </c>
      <c r="BL33" s="113">
        <v>0</v>
      </c>
      <c r="BM33" s="113">
        <v>0</v>
      </c>
      <c r="BN33" s="113">
        <v>0</v>
      </c>
      <c r="BO33" s="113">
        <v>0</v>
      </c>
      <c r="BP33" s="113">
        <v>0</v>
      </c>
      <c r="BQ33" s="113">
        <v>0</v>
      </c>
      <c r="BR33" s="113">
        <v>0</v>
      </c>
      <c r="BS33" s="113">
        <v>0</v>
      </c>
      <c r="BT33" s="113">
        <v>0</v>
      </c>
      <c r="BU33" s="113">
        <v>0</v>
      </c>
      <c r="BV33" s="113">
        <v>0</v>
      </c>
      <c r="BW33" s="113">
        <v>0</v>
      </c>
      <c r="BX33" s="113">
        <v>0</v>
      </c>
      <c r="BY33" s="113">
        <v>0</v>
      </c>
      <c r="BZ33" s="113">
        <v>0</v>
      </c>
      <c r="CA33" s="113">
        <v>0</v>
      </c>
      <c r="CB33" s="113">
        <v>0</v>
      </c>
      <c r="CC33" s="113">
        <v>0</v>
      </c>
      <c r="CD33" s="113">
        <v>0</v>
      </c>
      <c r="CE33" s="113">
        <v>0</v>
      </c>
      <c r="CF33" s="113">
        <v>0</v>
      </c>
      <c r="CG33" s="113">
        <v>0</v>
      </c>
      <c r="CH33" s="113">
        <v>0</v>
      </c>
      <c r="CI33" s="113">
        <v>0</v>
      </c>
      <c r="CJ33" s="113">
        <v>0</v>
      </c>
      <c r="CK33" s="113">
        <v>0</v>
      </c>
      <c r="CL33" s="113">
        <v>0</v>
      </c>
      <c r="CM33" s="113">
        <v>0</v>
      </c>
      <c r="CN33" s="113">
        <v>0</v>
      </c>
      <c r="CO33" s="113">
        <v>0</v>
      </c>
      <c r="CP33" s="113">
        <v>0</v>
      </c>
      <c r="CQ33" s="113">
        <v>0</v>
      </c>
      <c r="CR33" s="113">
        <v>0</v>
      </c>
      <c r="CS33" s="113">
        <v>0</v>
      </c>
      <c r="CT33" s="113">
        <v>0</v>
      </c>
      <c r="CU33" s="113">
        <v>0</v>
      </c>
      <c r="CV33" s="113">
        <v>0</v>
      </c>
      <c r="CW33" s="113">
        <v>0</v>
      </c>
      <c r="CX33" s="113">
        <v>0</v>
      </c>
      <c r="CY33" s="113">
        <v>0</v>
      </c>
      <c r="CZ33" s="113">
        <v>0</v>
      </c>
      <c r="DA33" s="113">
        <v>0</v>
      </c>
      <c r="DB33" s="113">
        <v>0</v>
      </c>
      <c r="DC33" s="113">
        <v>0</v>
      </c>
      <c r="DD33" s="113">
        <v>0</v>
      </c>
      <c r="DE33" s="113">
        <v>0</v>
      </c>
      <c r="DF33" s="113">
        <v>0</v>
      </c>
      <c r="DG33" s="113">
        <v>0</v>
      </c>
      <c r="DH33" s="113">
        <v>0</v>
      </c>
      <c r="DI33" s="113">
        <v>0</v>
      </c>
      <c r="DK33" s="112" t="s">
        <v>278</v>
      </c>
      <c r="DL33" s="113">
        <v>0</v>
      </c>
      <c r="DM33" s="113">
        <v>0</v>
      </c>
      <c r="DN33" s="113">
        <v>0</v>
      </c>
      <c r="DO33" s="113">
        <v>0</v>
      </c>
      <c r="DP33" s="113">
        <v>0</v>
      </c>
      <c r="DQ33" s="113">
        <v>0</v>
      </c>
      <c r="DR33" s="113">
        <v>0</v>
      </c>
      <c r="DS33" s="113">
        <v>0</v>
      </c>
      <c r="DT33" s="113">
        <v>0</v>
      </c>
      <c r="DU33" s="113">
        <v>0</v>
      </c>
      <c r="DV33" s="113">
        <v>0</v>
      </c>
      <c r="DW33" s="113">
        <v>0</v>
      </c>
      <c r="DX33" s="113">
        <v>0</v>
      </c>
      <c r="DY33" s="113">
        <v>0</v>
      </c>
      <c r="DZ33" s="113">
        <v>0</v>
      </c>
      <c r="EA33" s="113">
        <v>0</v>
      </c>
      <c r="EB33" s="113">
        <v>0</v>
      </c>
      <c r="EC33" s="113">
        <v>0</v>
      </c>
      <c r="ED33" s="113">
        <v>0</v>
      </c>
      <c r="EE33" s="113">
        <v>0</v>
      </c>
      <c r="EF33" s="113">
        <v>0</v>
      </c>
      <c r="EG33" s="113">
        <v>0</v>
      </c>
      <c r="EH33" s="113">
        <v>0</v>
      </c>
      <c r="EI33" s="113">
        <v>0</v>
      </c>
      <c r="EJ33" s="113">
        <v>0</v>
      </c>
      <c r="EK33" s="113">
        <v>0</v>
      </c>
      <c r="EL33" s="113">
        <v>0</v>
      </c>
      <c r="EM33" s="113">
        <v>0</v>
      </c>
      <c r="EN33" s="113">
        <v>0</v>
      </c>
      <c r="EO33" s="113">
        <v>0</v>
      </c>
      <c r="EP33" s="113">
        <v>0</v>
      </c>
      <c r="EQ33" s="113">
        <v>0</v>
      </c>
      <c r="ER33" s="113">
        <v>0</v>
      </c>
      <c r="ES33" s="113">
        <v>0</v>
      </c>
      <c r="ET33" s="113">
        <v>0</v>
      </c>
      <c r="EU33" s="113">
        <v>0</v>
      </c>
      <c r="EV33" s="113">
        <v>0</v>
      </c>
      <c r="EW33" s="113">
        <v>0</v>
      </c>
      <c r="EX33" s="113">
        <v>0</v>
      </c>
      <c r="EY33" s="113">
        <v>0</v>
      </c>
      <c r="EZ33" s="113">
        <v>0</v>
      </c>
      <c r="FA33" s="113">
        <v>0</v>
      </c>
      <c r="FB33" s="113">
        <v>0</v>
      </c>
      <c r="FC33" s="113">
        <v>0</v>
      </c>
      <c r="FD33" s="113">
        <v>0</v>
      </c>
      <c r="FE33" s="113">
        <v>0</v>
      </c>
      <c r="FF33" s="113">
        <v>0</v>
      </c>
      <c r="FG33" s="113">
        <v>0</v>
      </c>
      <c r="FH33" s="113">
        <v>0</v>
      </c>
      <c r="FI33" s="113">
        <v>0</v>
      </c>
      <c r="FJ33" s="113">
        <v>0</v>
      </c>
      <c r="FK33" s="113">
        <v>0</v>
      </c>
      <c r="FL33" s="113">
        <v>0</v>
      </c>
      <c r="FM33" s="113">
        <v>0</v>
      </c>
      <c r="FN33" s="113">
        <v>0</v>
      </c>
      <c r="FO33" s="113">
        <v>0</v>
      </c>
      <c r="FP33" s="113">
        <v>0</v>
      </c>
      <c r="FQ33" s="113">
        <v>0</v>
      </c>
      <c r="FR33" s="113">
        <v>0</v>
      </c>
      <c r="FS33" s="113">
        <v>0</v>
      </c>
      <c r="FT33" s="113">
        <v>0</v>
      </c>
      <c r="FU33" s="113">
        <v>0</v>
      </c>
      <c r="FV33" s="113">
        <v>0</v>
      </c>
      <c r="FW33" s="113">
        <v>0</v>
      </c>
      <c r="FX33" s="113">
        <v>0</v>
      </c>
      <c r="FY33" s="113">
        <v>0</v>
      </c>
      <c r="FZ33" s="113">
        <v>0</v>
      </c>
      <c r="GA33" s="113">
        <v>0</v>
      </c>
      <c r="GB33" s="113">
        <v>0</v>
      </c>
      <c r="GC33" s="113">
        <v>0</v>
      </c>
      <c r="GD33" s="113">
        <v>0</v>
      </c>
      <c r="GE33" s="113">
        <v>0</v>
      </c>
      <c r="GF33" s="113">
        <v>0</v>
      </c>
      <c r="GG33" s="113">
        <v>0</v>
      </c>
      <c r="GH33" s="113">
        <v>0</v>
      </c>
      <c r="GI33" s="113">
        <v>0</v>
      </c>
      <c r="GJ33" s="113">
        <v>0</v>
      </c>
      <c r="GK33" s="113">
        <v>0</v>
      </c>
      <c r="GL33" s="113">
        <v>0</v>
      </c>
      <c r="GM33" s="113">
        <v>0</v>
      </c>
      <c r="GN33" s="113">
        <v>0</v>
      </c>
      <c r="GO33" s="113">
        <v>0</v>
      </c>
      <c r="GP33" s="113">
        <v>0</v>
      </c>
      <c r="GQ33" s="113">
        <v>0</v>
      </c>
      <c r="GR33" s="113">
        <v>0</v>
      </c>
      <c r="GS33" s="113">
        <v>0</v>
      </c>
      <c r="GT33" s="113">
        <v>0</v>
      </c>
      <c r="GU33" s="113">
        <v>0</v>
      </c>
      <c r="GV33" s="113">
        <v>0</v>
      </c>
      <c r="GW33" s="113">
        <v>0</v>
      </c>
      <c r="GX33" s="113">
        <v>0</v>
      </c>
      <c r="GY33" s="113">
        <v>0</v>
      </c>
      <c r="GZ33" s="113">
        <v>0</v>
      </c>
      <c r="HA33" s="113">
        <v>0</v>
      </c>
      <c r="HB33" s="113">
        <v>0</v>
      </c>
      <c r="HC33" s="113">
        <v>0</v>
      </c>
      <c r="HD33" s="113">
        <v>0</v>
      </c>
      <c r="HE33" s="113">
        <v>0</v>
      </c>
      <c r="HF33" s="113">
        <v>0</v>
      </c>
      <c r="HG33" s="113">
        <v>0</v>
      </c>
      <c r="HH33" s="113">
        <v>0</v>
      </c>
    </row>
    <row r="34" spans="2:216" s="61" customFormat="1" ht="12" x14ac:dyDescent="0.3">
      <c r="B34" s="112" t="s">
        <v>279</v>
      </c>
      <c r="C34" s="113">
        <v>0</v>
      </c>
      <c r="D34" s="113">
        <v>0</v>
      </c>
      <c r="E34" s="113">
        <v>0</v>
      </c>
      <c r="F34" s="113">
        <v>1</v>
      </c>
      <c r="G34" s="113">
        <v>0</v>
      </c>
      <c r="H34" s="113">
        <v>0</v>
      </c>
      <c r="I34" s="113">
        <v>0</v>
      </c>
      <c r="J34" s="113">
        <v>0</v>
      </c>
      <c r="L34" s="112" t="s">
        <v>279</v>
      </c>
      <c r="M34" s="113">
        <v>0</v>
      </c>
      <c r="N34" s="113">
        <v>0</v>
      </c>
      <c r="O34" s="113">
        <v>0</v>
      </c>
      <c r="P34" s="113">
        <v>0</v>
      </c>
      <c r="Q34" s="113">
        <v>0</v>
      </c>
      <c r="R34" s="113">
        <v>0</v>
      </c>
      <c r="S34" s="113">
        <v>0</v>
      </c>
      <c r="T34" s="113">
        <v>0</v>
      </c>
      <c r="U34" s="113">
        <v>0</v>
      </c>
      <c r="V34" s="113">
        <v>0</v>
      </c>
      <c r="W34" s="113">
        <v>0</v>
      </c>
      <c r="X34" s="113">
        <v>0</v>
      </c>
      <c r="Y34" s="113">
        <v>0</v>
      </c>
      <c r="Z34" s="113">
        <v>0</v>
      </c>
      <c r="AA34" s="113">
        <v>0</v>
      </c>
      <c r="AB34" s="113">
        <v>0</v>
      </c>
      <c r="AC34" s="113">
        <v>0</v>
      </c>
      <c r="AD34" s="113">
        <v>0</v>
      </c>
      <c r="AE34" s="113">
        <v>0</v>
      </c>
      <c r="AF34" s="113">
        <v>0</v>
      </c>
      <c r="AG34" s="113">
        <v>0</v>
      </c>
      <c r="AH34" s="113">
        <v>0</v>
      </c>
      <c r="AI34" s="113">
        <v>0</v>
      </c>
      <c r="AJ34" s="113">
        <v>0</v>
      </c>
      <c r="AK34" s="113">
        <v>0</v>
      </c>
      <c r="AL34" s="113">
        <v>0</v>
      </c>
      <c r="AM34" s="113">
        <v>0</v>
      </c>
      <c r="AN34" s="113">
        <v>0</v>
      </c>
      <c r="AO34" s="113">
        <v>0</v>
      </c>
      <c r="AP34" s="113">
        <v>0</v>
      </c>
      <c r="AQ34" s="113">
        <v>0</v>
      </c>
      <c r="AR34" s="113">
        <v>0</v>
      </c>
      <c r="AS34" s="113">
        <v>0</v>
      </c>
      <c r="AT34" s="113">
        <v>0</v>
      </c>
      <c r="AU34" s="113">
        <v>0</v>
      </c>
      <c r="AV34" s="113">
        <v>0</v>
      </c>
      <c r="AW34" s="113">
        <v>0</v>
      </c>
      <c r="AX34" s="113">
        <v>0</v>
      </c>
      <c r="AY34" s="113">
        <v>0</v>
      </c>
      <c r="AZ34" s="113">
        <v>0</v>
      </c>
      <c r="BA34" s="113">
        <v>0</v>
      </c>
      <c r="BB34" s="113">
        <v>0</v>
      </c>
      <c r="BC34" s="113">
        <v>0</v>
      </c>
      <c r="BD34" s="113">
        <v>0</v>
      </c>
      <c r="BE34" s="113">
        <v>0</v>
      </c>
      <c r="BF34" s="113">
        <v>0</v>
      </c>
      <c r="BG34" s="113">
        <v>0</v>
      </c>
      <c r="BH34" s="113">
        <v>0</v>
      </c>
      <c r="BI34" s="113">
        <v>0</v>
      </c>
      <c r="BJ34" s="113">
        <v>0</v>
      </c>
      <c r="BK34" s="113">
        <v>0</v>
      </c>
      <c r="BL34" s="113">
        <v>0</v>
      </c>
      <c r="BM34" s="113">
        <v>0</v>
      </c>
      <c r="BN34" s="113">
        <v>0</v>
      </c>
      <c r="BO34" s="113">
        <v>0</v>
      </c>
      <c r="BP34" s="113">
        <v>0</v>
      </c>
      <c r="BQ34" s="113">
        <v>0</v>
      </c>
      <c r="BR34" s="113">
        <v>0</v>
      </c>
      <c r="BS34" s="113">
        <v>0</v>
      </c>
      <c r="BT34" s="113">
        <v>0</v>
      </c>
      <c r="BU34" s="113">
        <v>0</v>
      </c>
      <c r="BV34" s="113">
        <v>0</v>
      </c>
      <c r="BW34" s="113">
        <v>0</v>
      </c>
      <c r="BX34" s="113">
        <v>0</v>
      </c>
      <c r="BY34" s="113">
        <v>0</v>
      </c>
      <c r="BZ34" s="113">
        <v>0</v>
      </c>
      <c r="CA34" s="113">
        <v>0</v>
      </c>
      <c r="CB34" s="113">
        <v>0</v>
      </c>
      <c r="CC34" s="113">
        <v>0</v>
      </c>
      <c r="CD34" s="113">
        <v>0</v>
      </c>
      <c r="CE34" s="113">
        <v>0</v>
      </c>
      <c r="CF34" s="113">
        <v>0</v>
      </c>
      <c r="CG34" s="113">
        <v>0</v>
      </c>
      <c r="CH34" s="113">
        <v>0</v>
      </c>
      <c r="CI34" s="113">
        <v>0</v>
      </c>
      <c r="CJ34" s="113">
        <v>0</v>
      </c>
      <c r="CK34" s="113">
        <v>0</v>
      </c>
      <c r="CL34" s="113">
        <v>0</v>
      </c>
      <c r="CM34" s="113">
        <v>0</v>
      </c>
      <c r="CN34" s="113">
        <v>0</v>
      </c>
      <c r="CO34" s="113">
        <v>0</v>
      </c>
      <c r="CP34" s="113">
        <v>0</v>
      </c>
      <c r="CQ34" s="113">
        <v>0</v>
      </c>
      <c r="CR34" s="113">
        <v>0</v>
      </c>
      <c r="CS34" s="113">
        <v>0</v>
      </c>
      <c r="CT34" s="113">
        <v>0</v>
      </c>
      <c r="CU34" s="113">
        <v>0</v>
      </c>
      <c r="CV34" s="113">
        <v>0</v>
      </c>
      <c r="CW34" s="113">
        <v>0</v>
      </c>
      <c r="CX34" s="113">
        <v>0</v>
      </c>
      <c r="CY34" s="113">
        <v>0</v>
      </c>
      <c r="CZ34" s="113">
        <v>0</v>
      </c>
      <c r="DA34" s="113">
        <v>0</v>
      </c>
      <c r="DB34" s="113">
        <v>0</v>
      </c>
      <c r="DC34" s="113">
        <v>0</v>
      </c>
      <c r="DD34" s="113">
        <v>0</v>
      </c>
      <c r="DE34" s="113">
        <v>0</v>
      </c>
      <c r="DF34" s="113">
        <v>0</v>
      </c>
      <c r="DG34" s="113">
        <v>0</v>
      </c>
      <c r="DH34" s="113">
        <v>0</v>
      </c>
      <c r="DI34" s="113">
        <v>0</v>
      </c>
      <c r="DK34" s="112" t="s">
        <v>279</v>
      </c>
      <c r="DL34" s="113">
        <v>0</v>
      </c>
      <c r="DM34" s="113">
        <v>0</v>
      </c>
      <c r="DN34" s="113">
        <v>0</v>
      </c>
      <c r="DO34" s="113">
        <v>0</v>
      </c>
      <c r="DP34" s="113">
        <v>0</v>
      </c>
      <c r="DQ34" s="113">
        <v>0</v>
      </c>
      <c r="DR34" s="113">
        <v>0</v>
      </c>
      <c r="DS34" s="113">
        <v>0</v>
      </c>
      <c r="DT34" s="113">
        <v>0</v>
      </c>
      <c r="DU34" s="113">
        <v>0</v>
      </c>
      <c r="DV34" s="113">
        <v>0</v>
      </c>
      <c r="DW34" s="113">
        <v>0</v>
      </c>
      <c r="DX34" s="113">
        <v>0</v>
      </c>
      <c r="DY34" s="113">
        <v>0</v>
      </c>
      <c r="DZ34" s="113">
        <v>0</v>
      </c>
      <c r="EA34" s="113">
        <v>0</v>
      </c>
      <c r="EB34" s="113">
        <v>0</v>
      </c>
      <c r="EC34" s="113">
        <v>0</v>
      </c>
      <c r="ED34" s="113">
        <v>0</v>
      </c>
      <c r="EE34" s="113">
        <v>0</v>
      </c>
      <c r="EF34" s="113">
        <v>0</v>
      </c>
      <c r="EG34" s="113">
        <v>0</v>
      </c>
      <c r="EH34" s="113">
        <v>0</v>
      </c>
      <c r="EI34" s="113">
        <v>0</v>
      </c>
      <c r="EJ34" s="113">
        <v>0</v>
      </c>
      <c r="EK34" s="113">
        <v>0</v>
      </c>
      <c r="EL34" s="113">
        <v>0</v>
      </c>
      <c r="EM34" s="113">
        <v>0</v>
      </c>
      <c r="EN34" s="113">
        <v>0</v>
      </c>
      <c r="EO34" s="113">
        <v>0</v>
      </c>
      <c r="EP34" s="113">
        <v>0</v>
      </c>
      <c r="EQ34" s="113">
        <v>0</v>
      </c>
      <c r="ER34" s="113">
        <v>0</v>
      </c>
      <c r="ES34" s="113">
        <v>0</v>
      </c>
      <c r="ET34" s="113">
        <v>0</v>
      </c>
      <c r="EU34" s="113">
        <v>0</v>
      </c>
      <c r="EV34" s="113">
        <v>0</v>
      </c>
      <c r="EW34" s="113">
        <v>0</v>
      </c>
      <c r="EX34" s="113">
        <v>0</v>
      </c>
      <c r="EY34" s="113">
        <v>0</v>
      </c>
      <c r="EZ34" s="113">
        <v>0</v>
      </c>
      <c r="FA34" s="113">
        <v>0</v>
      </c>
      <c r="FB34" s="113">
        <v>0</v>
      </c>
      <c r="FC34" s="113">
        <v>0</v>
      </c>
      <c r="FD34" s="113">
        <v>0</v>
      </c>
      <c r="FE34" s="113">
        <v>0</v>
      </c>
      <c r="FF34" s="113">
        <v>0</v>
      </c>
      <c r="FG34" s="113">
        <v>0</v>
      </c>
      <c r="FH34" s="113">
        <v>0</v>
      </c>
      <c r="FI34" s="113">
        <v>0</v>
      </c>
      <c r="FJ34" s="113">
        <v>0</v>
      </c>
      <c r="FK34" s="113">
        <v>0</v>
      </c>
      <c r="FL34" s="113">
        <v>0</v>
      </c>
      <c r="FM34" s="113">
        <v>0</v>
      </c>
      <c r="FN34" s="113">
        <v>0</v>
      </c>
      <c r="FO34" s="113">
        <v>0</v>
      </c>
      <c r="FP34" s="113">
        <v>0</v>
      </c>
      <c r="FQ34" s="113">
        <v>0</v>
      </c>
      <c r="FR34" s="113">
        <v>0</v>
      </c>
      <c r="FS34" s="113">
        <v>0</v>
      </c>
      <c r="FT34" s="113">
        <v>0</v>
      </c>
      <c r="FU34" s="113">
        <v>0</v>
      </c>
      <c r="FV34" s="113">
        <v>0</v>
      </c>
      <c r="FW34" s="113">
        <v>0</v>
      </c>
      <c r="FX34" s="113">
        <v>0</v>
      </c>
      <c r="FY34" s="113">
        <v>0</v>
      </c>
      <c r="FZ34" s="113">
        <v>0</v>
      </c>
      <c r="GA34" s="113">
        <v>0</v>
      </c>
      <c r="GB34" s="113">
        <v>0</v>
      </c>
      <c r="GC34" s="113">
        <v>0</v>
      </c>
      <c r="GD34" s="113">
        <v>0</v>
      </c>
      <c r="GE34" s="113">
        <v>0</v>
      </c>
      <c r="GF34" s="113">
        <v>0</v>
      </c>
      <c r="GG34" s="113">
        <v>0</v>
      </c>
      <c r="GH34" s="113">
        <v>0</v>
      </c>
      <c r="GI34" s="113">
        <v>0</v>
      </c>
      <c r="GJ34" s="113">
        <v>0</v>
      </c>
      <c r="GK34" s="113">
        <v>0</v>
      </c>
      <c r="GL34" s="113">
        <v>0</v>
      </c>
      <c r="GM34" s="113">
        <v>0</v>
      </c>
      <c r="GN34" s="113">
        <v>0</v>
      </c>
      <c r="GO34" s="113">
        <v>0</v>
      </c>
      <c r="GP34" s="113">
        <v>0</v>
      </c>
      <c r="GQ34" s="113">
        <v>0</v>
      </c>
      <c r="GR34" s="113">
        <v>0</v>
      </c>
      <c r="GS34" s="113">
        <v>0</v>
      </c>
      <c r="GT34" s="113">
        <v>0</v>
      </c>
      <c r="GU34" s="113">
        <v>0</v>
      </c>
      <c r="GV34" s="113">
        <v>0</v>
      </c>
      <c r="GW34" s="113">
        <v>0</v>
      </c>
      <c r="GX34" s="113">
        <v>0</v>
      </c>
      <c r="GY34" s="113">
        <v>0</v>
      </c>
      <c r="GZ34" s="113">
        <v>0</v>
      </c>
      <c r="HA34" s="113">
        <v>0</v>
      </c>
      <c r="HB34" s="113">
        <v>0</v>
      </c>
      <c r="HC34" s="113">
        <v>0</v>
      </c>
      <c r="HD34" s="113">
        <v>0</v>
      </c>
      <c r="HE34" s="113">
        <v>0</v>
      </c>
      <c r="HF34" s="113">
        <v>0</v>
      </c>
      <c r="HG34" s="113">
        <v>0</v>
      </c>
      <c r="HH34" s="113">
        <v>0</v>
      </c>
    </row>
    <row r="35" spans="2:216" s="61" customFormat="1" ht="12" x14ac:dyDescent="0.3">
      <c r="B35" s="112" t="s">
        <v>280</v>
      </c>
      <c r="C35" s="113">
        <v>0</v>
      </c>
      <c r="D35" s="113">
        <v>0</v>
      </c>
      <c r="E35" s="113">
        <v>0</v>
      </c>
      <c r="F35" s="113">
        <v>0</v>
      </c>
      <c r="G35" s="113">
        <v>1</v>
      </c>
      <c r="H35" s="113">
        <v>0</v>
      </c>
      <c r="I35" s="113">
        <v>0</v>
      </c>
      <c r="J35" s="113">
        <v>0</v>
      </c>
      <c r="L35" s="112" t="s">
        <v>280</v>
      </c>
      <c r="M35" s="113">
        <v>0</v>
      </c>
      <c r="N35" s="113">
        <v>0</v>
      </c>
      <c r="O35" s="113">
        <v>0</v>
      </c>
      <c r="P35" s="113">
        <v>0</v>
      </c>
      <c r="Q35" s="113">
        <v>0</v>
      </c>
      <c r="R35" s="113">
        <v>0</v>
      </c>
      <c r="S35" s="113">
        <v>0</v>
      </c>
      <c r="T35" s="113">
        <v>0</v>
      </c>
      <c r="U35" s="113">
        <v>0</v>
      </c>
      <c r="V35" s="113">
        <v>0</v>
      </c>
      <c r="W35" s="113">
        <v>0</v>
      </c>
      <c r="X35" s="113">
        <v>0</v>
      </c>
      <c r="Y35" s="113">
        <v>0</v>
      </c>
      <c r="Z35" s="113">
        <v>0</v>
      </c>
      <c r="AA35" s="113">
        <v>0</v>
      </c>
      <c r="AB35" s="113">
        <v>0</v>
      </c>
      <c r="AC35" s="113">
        <v>0</v>
      </c>
      <c r="AD35" s="113">
        <v>0</v>
      </c>
      <c r="AE35" s="113">
        <v>0</v>
      </c>
      <c r="AF35" s="113">
        <v>0</v>
      </c>
      <c r="AG35" s="113">
        <v>0</v>
      </c>
      <c r="AH35" s="113">
        <v>0</v>
      </c>
      <c r="AI35" s="113">
        <v>0</v>
      </c>
      <c r="AJ35" s="113">
        <v>0</v>
      </c>
      <c r="AK35" s="113">
        <v>0</v>
      </c>
      <c r="AL35" s="113">
        <v>0</v>
      </c>
      <c r="AM35" s="113">
        <v>0</v>
      </c>
      <c r="AN35" s="113">
        <v>0</v>
      </c>
      <c r="AO35" s="113">
        <v>0</v>
      </c>
      <c r="AP35" s="113">
        <v>0</v>
      </c>
      <c r="AQ35" s="113">
        <v>0</v>
      </c>
      <c r="AR35" s="113">
        <v>0</v>
      </c>
      <c r="AS35" s="113">
        <v>0</v>
      </c>
      <c r="AT35" s="113">
        <v>0</v>
      </c>
      <c r="AU35" s="113">
        <v>0</v>
      </c>
      <c r="AV35" s="113">
        <v>0</v>
      </c>
      <c r="AW35" s="113">
        <v>0</v>
      </c>
      <c r="AX35" s="113">
        <v>0</v>
      </c>
      <c r="AY35" s="113">
        <v>0</v>
      </c>
      <c r="AZ35" s="113">
        <v>0</v>
      </c>
      <c r="BA35" s="113">
        <v>0</v>
      </c>
      <c r="BB35" s="113">
        <v>0</v>
      </c>
      <c r="BC35" s="113">
        <v>0</v>
      </c>
      <c r="BD35" s="113">
        <v>0</v>
      </c>
      <c r="BE35" s="113">
        <v>0</v>
      </c>
      <c r="BF35" s="113">
        <v>0</v>
      </c>
      <c r="BG35" s="113">
        <v>0</v>
      </c>
      <c r="BH35" s="113">
        <v>0</v>
      </c>
      <c r="BI35" s="113">
        <v>0</v>
      </c>
      <c r="BJ35" s="113">
        <v>0</v>
      </c>
      <c r="BK35" s="113">
        <v>0</v>
      </c>
      <c r="BL35" s="113">
        <v>0</v>
      </c>
      <c r="BM35" s="113">
        <v>0</v>
      </c>
      <c r="BN35" s="113">
        <v>0</v>
      </c>
      <c r="BO35" s="113">
        <v>0</v>
      </c>
      <c r="BP35" s="113">
        <v>0</v>
      </c>
      <c r="BQ35" s="113">
        <v>0</v>
      </c>
      <c r="BR35" s="113">
        <v>0</v>
      </c>
      <c r="BS35" s="113">
        <v>0</v>
      </c>
      <c r="BT35" s="113">
        <v>0</v>
      </c>
      <c r="BU35" s="113">
        <v>0</v>
      </c>
      <c r="BV35" s="113">
        <v>0</v>
      </c>
      <c r="BW35" s="113">
        <v>0</v>
      </c>
      <c r="BX35" s="113">
        <v>0</v>
      </c>
      <c r="BY35" s="113">
        <v>0</v>
      </c>
      <c r="BZ35" s="113">
        <v>0</v>
      </c>
      <c r="CA35" s="113">
        <v>0</v>
      </c>
      <c r="CB35" s="113">
        <v>0</v>
      </c>
      <c r="CC35" s="113">
        <v>0</v>
      </c>
      <c r="CD35" s="113">
        <v>0</v>
      </c>
      <c r="CE35" s="113">
        <v>0</v>
      </c>
      <c r="CF35" s="113">
        <v>0</v>
      </c>
      <c r="CG35" s="113">
        <v>0</v>
      </c>
      <c r="CH35" s="113">
        <v>0</v>
      </c>
      <c r="CI35" s="113">
        <v>0</v>
      </c>
      <c r="CJ35" s="113">
        <v>0</v>
      </c>
      <c r="CK35" s="113">
        <v>0</v>
      </c>
      <c r="CL35" s="113">
        <v>0</v>
      </c>
      <c r="CM35" s="113">
        <v>0</v>
      </c>
      <c r="CN35" s="113">
        <v>0</v>
      </c>
      <c r="CO35" s="113">
        <v>0</v>
      </c>
      <c r="CP35" s="113">
        <v>0</v>
      </c>
      <c r="CQ35" s="113">
        <v>0</v>
      </c>
      <c r="CR35" s="113">
        <v>0</v>
      </c>
      <c r="CS35" s="113">
        <v>0</v>
      </c>
      <c r="CT35" s="113">
        <v>0</v>
      </c>
      <c r="CU35" s="113">
        <v>0</v>
      </c>
      <c r="CV35" s="113">
        <v>0</v>
      </c>
      <c r="CW35" s="113">
        <v>0</v>
      </c>
      <c r="CX35" s="113">
        <v>0</v>
      </c>
      <c r="CY35" s="113">
        <v>0</v>
      </c>
      <c r="CZ35" s="113">
        <v>0</v>
      </c>
      <c r="DA35" s="113">
        <v>0</v>
      </c>
      <c r="DB35" s="113">
        <v>0</v>
      </c>
      <c r="DC35" s="113">
        <v>0</v>
      </c>
      <c r="DD35" s="113">
        <v>0</v>
      </c>
      <c r="DE35" s="113">
        <v>0</v>
      </c>
      <c r="DF35" s="113">
        <v>0</v>
      </c>
      <c r="DG35" s="113">
        <v>0</v>
      </c>
      <c r="DH35" s="113">
        <v>0</v>
      </c>
      <c r="DI35" s="113">
        <v>0</v>
      </c>
      <c r="DK35" s="112" t="s">
        <v>280</v>
      </c>
      <c r="DL35" s="113">
        <v>0</v>
      </c>
      <c r="DM35" s="113">
        <v>0</v>
      </c>
      <c r="DN35" s="113">
        <v>0</v>
      </c>
      <c r="DO35" s="113">
        <v>0</v>
      </c>
      <c r="DP35" s="113">
        <v>0</v>
      </c>
      <c r="DQ35" s="113">
        <v>0</v>
      </c>
      <c r="DR35" s="113">
        <v>0</v>
      </c>
      <c r="DS35" s="113">
        <v>0</v>
      </c>
      <c r="DT35" s="113">
        <v>0</v>
      </c>
      <c r="DU35" s="113">
        <v>0</v>
      </c>
      <c r="DV35" s="113">
        <v>0</v>
      </c>
      <c r="DW35" s="113">
        <v>0</v>
      </c>
      <c r="DX35" s="113">
        <v>0</v>
      </c>
      <c r="DY35" s="113">
        <v>0</v>
      </c>
      <c r="DZ35" s="113">
        <v>0</v>
      </c>
      <c r="EA35" s="113">
        <v>0</v>
      </c>
      <c r="EB35" s="113">
        <v>0</v>
      </c>
      <c r="EC35" s="113">
        <v>0</v>
      </c>
      <c r="ED35" s="113">
        <v>0</v>
      </c>
      <c r="EE35" s="113">
        <v>0</v>
      </c>
      <c r="EF35" s="113">
        <v>0</v>
      </c>
      <c r="EG35" s="113">
        <v>0</v>
      </c>
      <c r="EH35" s="113">
        <v>0</v>
      </c>
      <c r="EI35" s="113">
        <v>0</v>
      </c>
      <c r="EJ35" s="113">
        <v>0</v>
      </c>
      <c r="EK35" s="113">
        <v>0</v>
      </c>
      <c r="EL35" s="113">
        <v>0</v>
      </c>
      <c r="EM35" s="113">
        <v>0</v>
      </c>
      <c r="EN35" s="113">
        <v>0</v>
      </c>
      <c r="EO35" s="113">
        <v>0</v>
      </c>
      <c r="EP35" s="113">
        <v>0</v>
      </c>
      <c r="EQ35" s="113">
        <v>0</v>
      </c>
      <c r="ER35" s="113">
        <v>0</v>
      </c>
      <c r="ES35" s="113">
        <v>0</v>
      </c>
      <c r="ET35" s="113">
        <v>0</v>
      </c>
      <c r="EU35" s="113">
        <v>0</v>
      </c>
      <c r="EV35" s="113">
        <v>0</v>
      </c>
      <c r="EW35" s="113">
        <v>0</v>
      </c>
      <c r="EX35" s="113">
        <v>0</v>
      </c>
      <c r="EY35" s="113">
        <v>0</v>
      </c>
      <c r="EZ35" s="113">
        <v>0</v>
      </c>
      <c r="FA35" s="113">
        <v>0</v>
      </c>
      <c r="FB35" s="113">
        <v>0</v>
      </c>
      <c r="FC35" s="113">
        <v>0</v>
      </c>
      <c r="FD35" s="113">
        <v>0</v>
      </c>
      <c r="FE35" s="113">
        <v>0</v>
      </c>
      <c r="FF35" s="113">
        <v>0</v>
      </c>
      <c r="FG35" s="113">
        <v>0</v>
      </c>
      <c r="FH35" s="113">
        <v>0</v>
      </c>
      <c r="FI35" s="113">
        <v>0</v>
      </c>
      <c r="FJ35" s="113">
        <v>0</v>
      </c>
      <c r="FK35" s="113">
        <v>0</v>
      </c>
      <c r="FL35" s="113">
        <v>0</v>
      </c>
      <c r="FM35" s="113">
        <v>0</v>
      </c>
      <c r="FN35" s="113">
        <v>0</v>
      </c>
      <c r="FO35" s="113">
        <v>0</v>
      </c>
      <c r="FP35" s="113">
        <v>0</v>
      </c>
      <c r="FQ35" s="113">
        <v>0</v>
      </c>
      <c r="FR35" s="113">
        <v>0</v>
      </c>
      <c r="FS35" s="113">
        <v>0</v>
      </c>
      <c r="FT35" s="113">
        <v>0</v>
      </c>
      <c r="FU35" s="113">
        <v>0</v>
      </c>
      <c r="FV35" s="113">
        <v>0</v>
      </c>
      <c r="FW35" s="113">
        <v>0</v>
      </c>
      <c r="FX35" s="113">
        <v>0</v>
      </c>
      <c r="FY35" s="113">
        <v>0</v>
      </c>
      <c r="FZ35" s="113">
        <v>0</v>
      </c>
      <c r="GA35" s="113">
        <v>0</v>
      </c>
      <c r="GB35" s="113">
        <v>0</v>
      </c>
      <c r="GC35" s="113">
        <v>0</v>
      </c>
      <c r="GD35" s="113">
        <v>0</v>
      </c>
      <c r="GE35" s="113">
        <v>0</v>
      </c>
      <c r="GF35" s="113">
        <v>0</v>
      </c>
      <c r="GG35" s="113">
        <v>0</v>
      </c>
      <c r="GH35" s="113">
        <v>0</v>
      </c>
      <c r="GI35" s="113">
        <v>0</v>
      </c>
      <c r="GJ35" s="113">
        <v>0</v>
      </c>
      <c r="GK35" s="113">
        <v>0</v>
      </c>
      <c r="GL35" s="113">
        <v>0</v>
      </c>
      <c r="GM35" s="113">
        <v>0</v>
      </c>
      <c r="GN35" s="113">
        <v>0</v>
      </c>
      <c r="GO35" s="113">
        <v>0</v>
      </c>
      <c r="GP35" s="113">
        <v>0</v>
      </c>
      <c r="GQ35" s="113">
        <v>0</v>
      </c>
      <c r="GR35" s="113">
        <v>0</v>
      </c>
      <c r="GS35" s="113">
        <v>0</v>
      </c>
      <c r="GT35" s="113">
        <v>0</v>
      </c>
      <c r="GU35" s="113">
        <v>0</v>
      </c>
      <c r="GV35" s="113">
        <v>0</v>
      </c>
      <c r="GW35" s="113">
        <v>0</v>
      </c>
      <c r="GX35" s="113">
        <v>0</v>
      </c>
      <c r="GY35" s="113">
        <v>0</v>
      </c>
      <c r="GZ35" s="113">
        <v>0</v>
      </c>
      <c r="HA35" s="113">
        <v>0</v>
      </c>
      <c r="HB35" s="113">
        <v>0</v>
      </c>
      <c r="HC35" s="113">
        <v>0</v>
      </c>
      <c r="HD35" s="113">
        <v>0</v>
      </c>
      <c r="HE35" s="113">
        <v>0</v>
      </c>
      <c r="HF35" s="113">
        <v>0</v>
      </c>
      <c r="HG35" s="113">
        <v>0</v>
      </c>
      <c r="HH35" s="113">
        <v>0</v>
      </c>
    </row>
    <row r="36" spans="2:216" s="61" customFormat="1" ht="12" x14ac:dyDescent="0.3">
      <c r="B36" s="112" t="s">
        <v>281</v>
      </c>
      <c r="C36" s="113">
        <v>0</v>
      </c>
      <c r="D36" s="113">
        <v>0</v>
      </c>
      <c r="E36" s="113">
        <v>0</v>
      </c>
      <c r="F36" s="113">
        <v>0</v>
      </c>
      <c r="G36" s="113">
        <v>0</v>
      </c>
      <c r="H36" s="113">
        <v>1</v>
      </c>
      <c r="I36" s="113">
        <v>0</v>
      </c>
      <c r="J36" s="113">
        <v>0</v>
      </c>
      <c r="L36" s="112" t="s">
        <v>281</v>
      </c>
      <c r="M36" s="113">
        <v>0</v>
      </c>
      <c r="N36" s="113">
        <v>0</v>
      </c>
      <c r="O36" s="113">
        <v>0</v>
      </c>
      <c r="P36" s="113">
        <v>0</v>
      </c>
      <c r="Q36" s="113">
        <v>0</v>
      </c>
      <c r="R36" s="113">
        <v>0</v>
      </c>
      <c r="S36" s="113">
        <v>0</v>
      </c>
      <c r="T36" s="113">
        <v>0</v>
      </c>
      <c r="U36" s="113">
        <v>0</v>
      </c>
      <c r="V36" s="113">
        <v>0</v>
      </c>
      <c r="W36" s="113">
        <v>0</v>
      </c>
      <c r="X36" s="113">
        <v>0</v>
      </c>
      <c r="Y36" s="113">
        <v>0</v>
      </c>
      <c r="Z36" s="113">
        <v>0</v>
      </c>
      <c r="AA36" s="113">
        <v>0</v>
      </c>
      <c r="AB36" s="113">
        <v>0</v>
      </c>
      <c r="AC36" s="113">
        <v>0</v>
      </c>
      <c r="AD36" s="113">
        <v>0</v>
      </c>
      <c r="AE36" s="113">
        <v>0</v>
      </c>
      <c r="AF36" s="113">
        <v>0</v>
      </c>
      <c r="AG36" s="113">
        <v>0</v>
      </c>
      <c r="AH36" s="113">
        <v>0</v>
      </c>
      <c r="AI36" s="113">
        <v>0</v>
      </c>
      <c r="AJ36" s="113">
        <v>0</v>
      </c>
      <c r="AK36" s="113">
        <v>0</v>
      </c>
      <c r="AL36" s="113">
        <v>0</v>
      </c>
      <c r="AM36" s="113">
        <v>0</v>
      </c>
      <c r="AN36" s="113">
        <v>0</v>
      </c>
      <c r="AO36" s="113">
        <v>0</v>
      </c>
      <c r="AP36" s="113">
        <v>0</v>
      </c>
      <c r="AQ36" s="113">
        <v>0</v>
      </c>
      <c r="AR36" s="113">
        <v>0</v>
      </c>
      <c r="AS36" s="113">
        <v>0</v>
      </c>
      <c r="AT36" s="113">
        <v>0</v>
      </c>
      <c r="AU36" s="113">
        <v>0</v>
      </c>
      <c r="AV36" s="113">
        <v>0</v>
      </c>
      <c r="AW36" s="113">
        <v>0</v>
      </c>
      <c r="AX36" s="113">
        <v>0</v>
      </c>
      <c r="AY36" s="113">
        <v>0</v>
      </c>
      <c r="AZ36" s="113">
        <v>0</v>
      </c>
      <c r="BA36" s="113">
        <v>0</v>
      </c>
      <c r="BB36" s="113">
        <v>0</v>
      </c>
      <c r="BC36" s="113">
        <v>0</v>
      </c>
      <c r="BD36" s="113">
        <v>0</v>
      </c>
      <c r="BE36" s="113">
        <v>0</v>
      </c>
      <c r="BF36" s="113">
        <v>0</v>
      </c>
      <c r="BG36" s="113">
        <v>0</v>
      </c>
      <c r="BH36" s="113">
        <v>0</v>
      </c>
      <c r="BI36" s="113">
        <v>0</v>
      </c>
      <c r="BJ36" s="113">
        <v>0</v>
      </c>
      <c r="BK36" s="113">
        <v>0</v>
      </c>
      <c r="BL36" s="113">
        <v>0</v>
      </c>
      <c r="BM36" s="113">
        <v>0</v>
      </c>
      <c r="BN36" s="113">
        <v>0</v>
      </c>
      <c r="BO36" s="113">
        <v>0</v>
      </c>
      <c r="BP36" s="113">
        <v>0</v>
      </c>
      <c r="BQ36" s="113">
        <v>0</v>
      </c>
      <c r="BR36" s="113">
        <v>0</v>
      </c>
      <c r="BS36" s="113">
        <v>0</v>
      </c>
      <c r="BT36" s="113">
        <v>0</v>
      </c>
      <c r="BU36" s="113">
        <v>0</v>
      </c>
      <c r="BV36" s="113">
        <v>0</v>
      </c>
      <c r="BW36" s="113">
        <v>0</v>
      </c>
      <c r="BX36" s="113">
        <v>0</v>
      </c>
      <c r="BY36" s="113">
        <v>0</v>
      </c>
      <c r="BZ36" s="113">
        <v>0</v>
      </c>
      <c r="CA36" s="113">
        <v>0</v>
      </c>
      <c r="CB36" s="113">
        <v>0</v>
      </c>
      <c r="CC36" s="113">
        <v>0</v>
      </c>
      <c r="CD36" s="113">
        <v>0</v>
      </c>
      <c r="CE36" s="113">
        <v>0</v>
      </c>
      <c r="CF36" s="113">
        <v>0</v>
      </c>
      <c r="CG36" s="113">
        <v>0</v>
      </c>
      <c r="CH36" s="113">
        <v>0</v>
      </c>
      <c r="CI36" s="113">
        <v>0</v>
      </c>
      <c r="CJ36" s="113">
        <v>0</v>
      </c>
      <c r="CK36" s="113">
        <v>0</v>
      </c>
      <c r="CL36" s="113">
        <v>0</v>
      </c>
      <c r="CM36" s="113">
        <v>0</v>
      </c>
      <c r="CN36" s="113">
        <v>0</v>
      </c>
      <c r="CO36" s="113">
        <v>0</v>
      </c>
      <c r="CP36" s="113">
        <v>0</v>
      </c>
      <c r="CQ36" s="113">
        <v>0</v>
      </c>
      <c r="CR36" s="113">
        <v>0</v>
      </c>
      <c r="CS36" s="113">
        <v>0</v>
      </c>
      <c r="CT36" s="113">
        <v>0</v>
      </c>
      <c r="CU36" s="113">
        <v>0</v>
      </c>
      <c r="CV36" s="113">
        <v>0</v>
      </c>
      <c r="CW36" s="113">
        <v>0</v>
      </c>
      <c r="CX36" s="113">
        <v>0</v>
      </c>
      <c r="CY36" s="113">
        <v>0</v>
      </c>
      <c r="CZ36" s="113">
        <v>0</v>
      </c>
      <c r="DA36" s="113">
        <v>0</v>
      </c>
      <c r="DB36" s="113">
        <v>0</v>
      </c>
      <c r="DC36" s="113">
        <v>0</v>
      </c>
      <c r="DD36" s="113">
        <v>0</v>
      </c>
      <c r="DE36" s="113">
        <v>0</v>
      </c>
      <c r="DF36" s="113">
        <v>0</v>
      </c>
      <c r="DG36" s="113">
        <v>0</v>
      </c>
      <c r="DH36" s="113">
        <v>0</v>
      </c>
      <c r="DI36" s="113">
        <v>0</v>
      </c>
      <c r="DK36" s="112" t="s">
        <v>281</v>
      </c>
      <c r="DL36" s="113">
        <v>0</v>
      </c>
      <c r="DM36" s="113">
        <v>0</v>
      </c>
      <c r="DN36" s="113">
        <v>0</v>
      </c>
      <c r="DO36" s="113">
        <v>0</v>
      </c>
      <c r="DP36" s="113">
        <v>0</v>
      </c>
      <c r="DQ36" s="113">
        <v>0</v>
      </c>
      <c r="DR36" s="113">
        <v>0</v>
      </c>
      <c r="DS36" s="113">
        <v>0</v>
      </c>
      <c r="DT36" s="113">
        <v>0</v>
      </c>
      <c r="DU36" s="113">
        <v>0</v>
      </c>
      <c r="DV36" s="113">
        <v>0</v>
      </c>
      <c r="DW36" s="113">
        <v>0</v>
      </c>
      <c r="DX36" s="113">
        <v>0</v>
      </c>
      <c r="DY36" s="113">
        <v>0</v>
      </c>
      <c r="DZ36" s="113">
        <v>0</v>
      </c>
      <c r="EA36" s="113">
        <v>0</v>
      </c>
      <c r="EB36" s="113">
        <v>0</v>
      </c>
      <c r="EC36" s="113">
        <v>0</v>
      </c>
      <c r="ED36" s="113">
        <v>0</v>
      </c>
      <c r="EE36" s="113">
        <v>0</v>
      </c>
      <c r="EF36" s="113">
        <v>0</v>
      </c>
      <c r="EG36" s="113">
        <v>0</v>
      </c>
      <c r="EH36" s="113">
        <v>0</v>
      </c>
      <c r="EI36" s="113">
        <v>0</v>
      </c>
      <c r="EJ36" s="113">
        <v>0</v>
      </c>
      <c r="EK36" s="113">
        <v>0</v>
      </c>
      <c r="EL36" s="113">
        <v>0</v>
      </c>
      <c r="EM36" s="113">
        <v>0</v>
      </c>
      <c r="EN36" s="113">
        <v>0</v>
      </c>
      <c r="EO36" s="113">
        <v>0</v>
      </c>
      <c r="EP36" s="113">
        <v>0</v>
      </c>
      <c r="EQ36" s="113">
        <v>0</v>
      </c>
      <c r="ER36" s="113">
        <v>0</v>
      </c>
      <c r="ES36" s="113">
        <v>0</v>
      </c>
      <c r="ET36" s="113">
        <v>0</v>
      </c>
      <c r="EU36" s="113">
        <v>0</v>
      </c>
      <c r="EV36" s="113">
        <v>0</v>
      </c>
      <c r="EW36" s="113">
        <v>0</v>
      </c>
      <c r="EX36" s="113">
        <v>0</v>
      </c>
      <c r="EY36" s="113">
        <v>0</v>
      </c>
      <c r="EZ36" s="113">
        <v>0</v>
      </c>
      <c r="FA36" s="113">
        <v>0</v>
      </c>
      <c r="FB36" s="113">
        <v>0</v>
      </c>
      <c r="FC36" s="113">
        <v>0</v>
      </c>
      <c r="FD36" s="113">
        <v>0</v>
      </c>
      <c r="FE36" s="113">
        <v>0</v>
      </c>
      <c r="FF36" s="113">
        <v>0</v>
      </c>
      <c r="FG36" s="113">
        <v>0</v>
      </c>
      <c r="FH36" s="113">
        <v>0</v>
      </c>
      <c r="FI36" s="113">
        <v>0</v>
      </c>
      <c r="FJ36" s="113">
        <v>0</v>
      </c>
      <c r="FK36" s="113">
        <v>0</v>
      </c>
      <c r="FL36" s="113">
        <v>0</v>
      </c>
      <c r="FM36" s="113">
        <v>0</v>
      </c>
      <c r="FN36" s="113">
        <v>0</v>
      </c>
      <c r="FO36" s="113">
        <v>0</v>
      </c>
      <c r="FP36" s="113">
        <v>0</v>
      </c>
      <c r="FQ36" s="113">
        <v>0</v>
      </c>
      <c r="FR36" s="113">
        <v>0</v>
      </c>
      <c r="FS36" s="113">
        <v>0</v>
      </c>
      <c r="FT36" s="113">
        <v>0</v>
      </c>
      <c r="FU36" s="113">
        <v>0</v>
      </c>
      <c r="FV36" s="113">
        <v>0</v>
      </c>
      <c r="FW36" s="113">
        <v>0</v>
      </c>
      <c r="FX36" s="113">
        <v>0</v>
      </c>
      <c r="FY36" s="113">
        <v>0</v>
      </c>
      <c r="FZ36" s="113">
        <v>0</v>
      </c>
      <c r="GA36" s="113">
        <v>0</v>
      </c>
      <c r="GB36" s="113">
        <v>0</v>
      </c>
      <c r="GC36" s="113">
        <v>0</v>
      </c>
      <c r="GD36" s="113">
        <v>0</v>
      </c>
      <c r="GE36" s="113">
        <v>0</v>
      </c>
      <c r="GF36" s="113">
        <v>0</v>
      </c>
      <c r="GG36" s="113">
        <v>0</v>
      </c>
      <c r="GH36" s="113">
        <v>0</v>
      </c>
      <c r="GI36" s="113">
        <v>0</v>
      </c>
      <c r="GJ36" s="113">
        <v>0</v>
      </c>
      <c r="GK36" s="113">
        <v>0</v>
      </c>
      <c r="GL36" s="113">
        <v>0</v>
      </c>
      <c r="GM36" s="113">
        <v>0</v>
      </c>
      <c r="GN36" s="113">
        <v>0</v>
      </c>
      <c r="GO36" s="113">
        <v>0</v>
      </c>
      <c r="GP36" s="113">
        <v>0</v>
      </c>
      <c r="GQ36" s="113">
        <v>0</v>
      </c>
      <c r="GR36" s="113">
        <v>0</v>
      </c>
      <c r="GS36" s="113">
        <v>0</v>
      </c>
      <c r="GT36" s="113">
        <v>0</v>
      </c>
      <c r="GU36" s="113">
        <v>0</v>
      </c>
      <c r="GV36" s="113">
        <v>0</v>
      </c>
      <c r="GW36" s="113">
        <v>0</v>
      </c>
      <c r="GX36" s="113">
        <v>0</v>
      </c>
      <c r="GY36" s="113">
        <v>0</v>
      </c>
      <c r="GZ36" s="113">
        <v>0</v>
      </c>
      <c r="HA36" s="113">
        <v>0</v>
      </c>
      <c r="HB36" s="113">
        <v>0</v>
      </c>
      <c r="HC36" s="113">
        <v>0</v>
      </c>
      <c r="HD36" s="113">
        <v>0</v>
      </c>
      <c r="HE36" s="113">
        <v>0</v>
      </c>
      <c r="HF36" s="113">
        <v>0</v>
      </c>
      <c r="HG36" s="113">
        <v>0</v>
      </c>
      <c r="HH36" s="113">
        <v>0</v>
      </c>
    </row>
    <row r="37" spans="2:216" s="61" customFormat="1" ht="12" x14ac:dyDescent="0.3">
      <c r="B37" s="112" t="s">
        <v>282</v>
      </c>
      <c r="C37" s="113">
        <v>0</v>
      </c>
      <c r="D37" s="113">
        <v>0</v>
      </c>
      <c r="E37" s="113">
        <v>0</v>
      </c>
      <c r="F37" s="113">
        <v>0</v>
      </c>
      <c r="G37" s="113">
        <v>0</v>
      </c>
      <c r="H37" s="113">
        <v>0</v>
      </c>
      <c r="I37" s="113">
        <v>1</v>
      </c>
      <c r="J37" s="114">
        <v>0</v>
      </c>
      <c r="L37" s="112" t="s">
        <v>282</v>
      </c>
      <c r="M37" s="113">
        <v>0</v>
      </c>
      <c r="N37" s="113">
        <v>0</v>
      </c>
      <c r="O37" s="113">
        <v>0</v>
      </c>
      <c r="P37" s="113">
        <v>0</v>
      </c>
      <c r="Q37" s="113">
        <v>0</v>
      </c>
      <c r="R37" s="113">
        <v>0</v>
      </c>
      <c r="S37" s="113">
        <v>0</v>
      </c>
      <c r="T37" s="113">
        <v>0</v>
      </c>
      <c r="U37" s="113">
        <v>0</v>
      </c>
      <c r="V37" s="113">
        <v>0</v>
      </c>
      <c r="W37" s="113">
        <v>0</v>
      </c>
      <c r="X37" s="113">
        <v>0</v>
      </c>
      <c r="Y37" s="113">
        <v>0</v>
      </c>
      <c r="Z37" s="113">
        <v>0</v>
      </c>
      <c r="AA37" s="113">
        <v>0</v>
      </c>
      <c r="AB37" s="113">
        <v>0</v>
      </c>
      <c r="AC37" s="113">
        <v>0</v>
      </c>
      <c r="AD37" s="113">
        <v>0</v>
      </c>
      <c r="AE37" s="113">
        <v>0</v>
      </c>
      <c r="AF37" s="113">
        <v>0</v>
      </c>
      <c r="AG37" s="113">
        <v>0</v>
      </c>
      <c r="AH37" s="113">
        <v>0</v>
      </c>
      <c r="AI37" s="113">
        <v>0</v>
      </c>
      <c r="AJ37" s="113">
        <v>0</v>
      </c>
      <c r="AK37" s="113">
        <v>0</v>
      </c>
      <c r="AL37" s="113">
        <v>0</v>
      </c>
      <c r="AM37" s="113">
        <v>0</v>
      </c>
      <c r="AN37" s="113">
        <v>0</v>
      </c>
      <c r="AO37" s="113">
        <v>0</v>
      </c>
      <c r="AP37" s="113">
        <v>0</v>
      </c>
      <c r="AQ37" s="113">
        <v>0</v>
      </c>
      <c r="AR37" s="113">
        <v>0</v>
      </c>
      <c r="AS37" s="113">
        <v>0</v>
      </c>
      <c r="AT37" s="113">
        <v>0</v>
      </c>
      <c r="AU37" s="113">
        <v>0</v>
      </c>
      <c r="AV37" s="113">
        <v>0</v>
      </c>
      <c r="AW37" s="113">
        <v>0</v>
      </c>
      <c r="AX37" s="113">
        <v>0</v>
      </c>
      <c r="AY37" s="113">
        <v>0</v>
      </c>
      <c r="AZ37" s="113">
        <v>0</v>
      </c>
      <c r="BA37" s="113">
        <v>0</v>
      </c>
      <c r="BB37" s="113">
        <v>0</v>
      </c>
      <c r="BC37" s="113">
        <v>0</v>
      </c>
      <c r="BD37" s="113">
        <v>0</v>
      </c>
      <c r="BE37" s="113">
        <v>0</v>
      </c>
      <c r="BF37" s="113">
        <v>0</v>
      </c>
      <c r="BG37" s="113">
        <v>0</v>
      </c>
      <c r="BH37" s="113">
        <v>0</v>
      </c>
      <c r="BI37" s="113">
        <v>0</v>
      </c>
      <c r="BJ37" s="113">
        <v>0</v>
      </c>
      <c r="BK37" s="113">
        <v>0</v>
      </c>
      <c r="BL37" s="113">
        <v>0</v>
      </c>
      <c r="BM37" s="113">
        <v>0</v>
      </c>
      <c r="BN37" s="113">
        <v>0</v>
      </c>
      <c r="BO37" s="113">
        <v>0</v>
      </c>
      <c r="BP37" s="113">
        <v>0</v>
      </c>
      <c r="BQ37" s="113">
        <v>0</v>
      </c>
      <c r="BR37" s="113">
        <v>0</v>
      </c>
      <c r="BS37" s="113">
        <v>0</v>
      </c>
      <c r="BT37" s="113">
        <v>0</v>
      </c>
      <c r="BU37" s="113">
        <v>0</v>
      </c>
      <c r="BV37" s="113">
        <v>0</v>
      </c>
      <c r="BW37" s="113">
        <v>0</v>
      </c>
      <c r="BX37" s="113">
        <v>0</v>
      </c>
      <c r="BY37" s="113">
        <v>0</v>
      </c>
      <c r="BZ37" s="113">
        <v>0</v>
      </c>
      <c r="CA37" s="113">
        <v>0</v>
      </c>
      <c r="CB37" s="113">
        <v>0</v>
      </c>
      <c r="CC37" s="113">
        <v>0</v>
      </c>
      <c r="CD37" s="113">
        <v>0</v>
      </c>
      <c r="CE37" s="113">
        <v>0</v>
      </c>
      <c r="CF37" s="113">
        <v>0</v>
      </c>
      <c r="CG37" s="113">
        <v>0</v>
      </c>
      <c r="CH37" s="113">
        <v>0</v>
      </c>
      <c r="CI37" s="113">
        <v>0</v>
      </c>
      <c r="CJ37" s="113">
        <v>0</v>
      </c>
      <c r="CK37" s="113">
        <v>0</v>
      </c>
      <c r="CL37" s="113">
        <v>0</v>
      </c>
      <c r="CM37" s="113">
        <v>0</v>
      </c>
      <c r="CN37" s="113">
        <v>0</v>
      </c>
      <c r="CO37" s="113">
        <v>0</v>
      </c>
      <c r="CP37" s="113">
        <v>0</v>
      </c>
      <c r="CQ37" s="113">
        <v>0</v>
      </c>
      <c r="CR37" s="113">
        <v>0</v>
      </c>
      <c r="CS37" s="113">
        <v>0</v>
      </c>
      <c r="CT37" s="113">
        <v>0</v>
      </c>
      <c r="CU37" s="113">
        <v>0</v>
      </c>
      <c r="CV37" s="113">
        <v>0</v>
      </c>
      <c r="CW37" s="113">
        <v>0</v>
      </c>
      <c r="CX37" s="113">
        <v>0</v>
      </c>
      <c r="CY37" s="113">
        <v>0</v>
      </c>
      <c r="CZ37" s="113">
        <v>0</v>
      </c>
      <c r="DA37" s="113">
        <v>0</v>
      </c>
      <c r="DB37" s="113">
        <v>0</v>
      </c>
      <c r="DC37" s="113">
        <v>0</v>
      </c>
      <c r="DD37" s="113">
        <v>0</v>
      </c>
      <c r="DE37" s="113">
        <v>0</v>
      </c>
      <c r="DF37" s="113">
        <v>0</v>
      </c>
      <c r="DG37" s="113">
        <v>0</v>
      </c>
      <c r="DH37" s="113">
        <v>0</v>
      </c>
      <c r="DI37" s="113">
        <v>0</v>
      </c>
      <c r="DK37" s="112" t="s">
        <v>282</v>
      </c>
      <c r="DL37" s="113">
        <v>0</v>
      </c>
      <c r="DM37" s="113">
        <v>0</v>
      </c>
      <c r="DN37" s="113">
        <v>0</v>
      </c>
      <c r="DO37" s="113">
        <v>0</v>
      </c>
      <c r="DP37" s="113">
        <v>0</v>
      </c>
      <c r="DQ37" s="113">
        <v>0</v>
      </c>
      <c r="DR37" s="113">
        <v>0</v>
      </c>
      <c r="DS37" s="113">
        <v>0</v>
      </c>
      <c r="DT37" s="113">
        <v>0</v>
      </c>
      <c r="DU37" s="113">
        <v>0</v>
      </c>
      <c r="DV37" s="113">
        <v>0</v>
      </c>
      <c r="DW37" s="113">
        <v>0</v>
      </c>
      <c r="DX37" s="113">
        <v>0</v>
      </c>
      <c r="DY37" s="113">
        <v>0</v>
      </c>
      <c r="DZ37" s="113">
        <v>0</v>
      </c>
      <c r="EA37" s="113">
        <v>0</v>
      </c>
      <c r="EB37" s="113">
        <v>0</v>
      </c>
      <c r="EC37" s="113">
        <v>0</v>
      </c>
      <c r="ED37" s="113">
        <v>0</v>
      </c>
      <c r="EE37" s="113">
        <v>0</v>
      </c>
      <c r="EF37" s="113">
        <v>0</v>
      </c>
      <c r="EG37" s="113">
        <v>0</v>
      </c>
      <c r="EH37" s="113">
        <v>0</v>
      </c>
      <c r="EI37" s="113">
        <v>0</v>
      </c>
      <c r="EJ37" s="113">
        <v>0</v>
      </c>
      <c r="EK37" s="113">
        <v>0</v>
      </c>
      <c r="EL37" s="113">
        <v>0</v>
      </c>
      <c r="EM37" s="113">
        <v>0</v>
      </c>
      <c r="EN37" s="113">
        <v>0</v>
      </c>
      <c r="EO37" s="113">
        <v>0</v>
      </c>
      <c r="EP37" s="113">
        <v>0</v>
      </c>
      <c r="EQ37" s="113">
        <v>0</v>
      </c>
      <c r="ER37" s="113">
        <v>0</v>
      </c>
      <c r="ES37" s="113">
        <v>0</v>
      </c>
      <c r="ET37" s="113">
        <v>0</v>
      </c>
      <c r="EU37" s="113">
        <v>0</v>
      </c>
      <c r="EV37" s="113">
        <v>0</v>
      </c>
      <c r="EW37" s="113">
        <v>0</v>
      </c>
      <c r="EX37" s="113">
        <v>0</v>
      </c>
      <c r="EY37" s="113">
        <v>0</v>
      </c>
      <c r="EZ37" s="113">
        <v>0</v>
      </c>
      <c r="FA37" s="113">
        <v>0</v>
      </c>
      <c r="FB37" s="113">
        <v>0</v>
      </c>
      <c r="FC37" s="113">
        <v>0</v>
      </c>
      <c r="FD37" s="113">
        <v>0</v>
      </c>
      <c r="FE37" s="113">
        <v>0</v>
      </c>
      <c r="FF37" s="113">
        <v>0</v>
      </c>
      <c r="FG37" s="113">
        <v>0</v>
      </c>
      <c r="FH37" s="113">
        <v>0</v>
      </c>
      <c r="FI37" s="113">
        <v>0</v>
      </c>
      <c r="FJ37" s="113">
        <v>0</v>
      </c>
      <c r="FK37" s="113">
        <v>0</v>
      </c>
      <c r="FL37" s="113">
        <v>0</v>
      </c>
      <c r="FM37" s="113">
        <v>0</v>
      </c>
      <c r="FN37" s="113">
        <v>0</v>
      </c>
      <c r="FO37" s="113">
        <v>0</v>
      </c>
      <c r="FP37" s="113">
        <v>0</v>
      </c>
      <c r="FQ37" s="113">
        <v>0</v>
      </c>
      <c r="FR37" s="113">
        <v>0</v>
      </c>
      <c r="FS37" s="113">
        <v>0</v>
      </c>
      <c r="FT37" s="113">
        <v>0</v>
      </c>
      <c r="FU37" s="113">
        <v>0</v>
      </c>
      <c r="FV37" s="113">
        <v>0</v>
      </c>
      <c r="FW37" s="113">
        <v>0</v>
      </c>
      <c r="FX37" s="113">
        <v>0</v>
      </c>
      <c r="FY37" s="113">
        <v>0</v>
      </c>
      <c r="FZ37" s="113">
        <v>0</v>
      </c>
      <c r="GA37" s="113">
        <v>0</v>
      </c>
      <c r="GB37" s="113">
        <v>0</v>
      </c>
      <c r="GC37" s="113">
        <v>0</v>
      </c>
      <c r="GD37" s="113">
        <v>0</v>
      </c>
      <c r="GE37" s="113">
        <v>0</v>
      </c>
      <c r="GF37" s="113">
        <v>0</v>
      </c>
      <c r="GG37" s="113">
        <v>0</v>
      </c>
      <c r="GH37" s="113">
        <v>0</v>
      </c>
      <c r="GI37" s="113">
        <v>0</v>
      </c>
      <c r="GJ37" s="113">
        <v>0</v>
      </c>
      <c r="GK37" s="113">
        <v>0</v>
      </c>
      <c r="GL37" s="113">
        <v>0</v>
      </c>
      <c r="GM37" s="113">
        <v>0</v>
      </c>
      <c r="GN37" s="113">
        <v>0</v>
      </c>
      <c r="GO37" s="113">
        <v>0</v>
      </c>
      <c r="GP37" s="113">
        <v>0</v>
      </c>
      <c r="GQ37" s="113">
        <v>0</v>
      </c>
      <c r="GR37" s="113">
        <v>0</v>
      </c>
      <c r="GS37" s="113">
        <v>0</v>
      </c>
      <c r="GT37" s="113">
        <v>0</v>
      </c>
      <c r="GU37" s="113">
        <v>0</v>
      </c>
      <c r="GV37" s="113">
        <v>0</v>
      </c>
      <c r="GW37" s="113">
        <v>0</v>
      </c>
      <c r="GX37" s="113">
        <v>0</v>
      </c>
      <c r="GY37" s="113">
        <v>0</v>
      </c>
      <c r="GZ37" s="113">
        <v>0</v>
      </c>
      <c r="HA37" s="113">
        <v>0</v>
      </c>
      <c r="HB37" s="113">
        <v>0</v>
      </c>
      <c r="HC37" s="113">
        <v>0</v>
      </c>
      <c r="HD37" s="113">
        <v>0</v>
      </c>
      <c r="HE37" s="113">
        <v>0</v>
      </c>
      <c r="HF37" s="113">
        <v>0</v>
      </c>
      <c r="HG37" s="113">
        <v>0</v>
      </c>
      <c r="HH37" s="113">
        <v>0</v>
      </c>
    </row>
    <row r="38" spans="2:216" s="61" customFormat="1" ht="12" x14ac:dyDescent="0.3"/>
    <row r="39" spans="2:216" s="61" customFormat="1" ht="12" x14ac:dyDescent="0.3"/>
    <row r="40" spans="2:216" s="61" customFormat="1" ht="12" x14ac:dyDescent="0.3">
      <c r="B40" s="61" t="s">
        <v>287</v>
      </c>
      <c r="L40" s="61" t="s">
        <v>288</v>
      </c>
      <c r="DK40" s="61" t="s">
        <v>288</v>
      </c>
    </row>
    <row r="41" spans="2:216" s="61" customFormat="1" ht="12" x14ac:dyDescent="0.3">
      <c r="B41" s="110" t="s">
        <v>275</v>
      </c>
      <c r="C41" s="111" t="s">
        <v>276</v>
      </c>
      <c r="D41" s="111" t="s">
        <v>277</v>
      </c>
      <c r="E41" s="111" t="s">
        <v>278</v>
      </c>
      <c r="F41" s="111" t="s">
        <v>279</v>
      </c>
      <c r="G41" s="110" t="s">
        <v>280</v>
      </c>
      <c r="H41" s="111" t="s">
        <v>281</v>
      </c>
      <c r="I41" s="111" t="s">
        <v>282</v>
      </c>
      <c r="J41" s="111" t="s">
        <v>98</v>
      </c>
      <c r="L41" s="110" t="s">
        <v>275</v>
      </c>
      <c r="M41" s="115">
        <v>0</v>
      </c>
      <c r="N41" s="115">
        <v>1</v>
      </c>
      <c r="O41" s="115">
        <v>2</v>
      </c>
      <c r="P41" s="115">
        <v>3</v>
      </c>
      <c r="Q41" s="115">
        <v>4</v>
      </c>
      <c r="R41" s="115">
        <v>5</v>
      </c>
      <c r="S41" s="115">
        <v>6</v>
      </c>
      <c r="T41" s="115">
        <v>7</v>
      </c>
      <c r="U41" s="115">
        <v>8</v>
      </c>
      <c r="V41" s="115">
        <v>9</v>
      </c>
      <c r="W41" s="115">
        <v>10</v>
      </c>
      <c r="X41" s="115">
        <v>11</v>
      </c>
      <c r="Y41" s="115">
        <v>12</v>
      </c>
      <c r="Z41" s="115">
        <v>13</v>
      </c>
      <c r="AA41" s="115">
        <v>14</v>
      </c>
      <c r="AB41" s="115">
        <v>15</v>
      </c>
      <c r="AC41" s="115">
        <v>16</v>
      </c>
      <c r="AD41" s="115">
        <v>17</v>
      </c>
      <c r="AE41" s="115">
        <v>18</v>
      </c>
      <c r="AF41" s="115">
        <v>19</v>
      </c>
      <c r="AG41" s="115">
        <v>20</v>
      </c>
      <c r="AH41" s="115">
        <v>21</v>
      </c>
      <c r="AI41" s="115">
        <v>22</v>
      </c>
      <c r="AJ41" s="115">
        <v>23</v>
      </c>
      <c r="AK41" s="115">
        <v>24</v>
      </c>
      <c r="AL41" s="115">
        <v>25</v>
      </c>
      <c r="AM41" s="115">
        <v>26</v>
      </c>
      <c r="AN41" s="115">
        <v>27</v>
      </c>
      <c r="AO41" s="115">
        <v>28</v>
      </c>
      <c r="AP41" s="115">
        <v>29</v>
      </c>
      <c r="AQ41" s="115">
        <v>30</v>
      </c>
      <c r="AR41" s="115">
        <v>31</v>
      </c>
      <c r="AS41" s="115">
        <v>32</v>
      </c>
      <c r="AT41" s="115">
        <v>33</v>
      </c>
      <c r="AU41" s="115">
        <v>34</v>
      </c>
      <c r="AV41" s="115">
        <v>35</v>
      </c>
      <c r="AW41" s="115">
        <v>36</v>
      </c>
      <c r="AX41" s="115">
        <v>37</v>
      </c>
      <c r="AY41" s="115">
        <v>38</v>
      </c>
      <c r="AZ41" s="115">
        <v>39</v>
      </c>
      <c r="BA41" s="115">
        <v>40</v>
      </c>
      <c r="BB41" s="115">
        <v>41</v>
      </c>
      <c r="BC41" s="115">
        <v>42</v>
      </c>
      <c r="BD41" s="115">
        <v>43</v>
      </c>
      <c r="BE41" s="115">
        <v>44</v>
      </c>
      <c r="BF41" s="115">
        <v>45</v>
      </c>
      <c r="BG41" s="115">
        <v>46</v>
      </c>
      <c r="BH41" s="115">
        <v>47</v>
      </c>
      <c r="BI41" s="115">
        <v>48</v>
      </c>
      <c r="BJ41" s="115">
        <v>49</v>
      </c>
      <c r="BK41" s="115">
        <v>50</v>
      </c>
      <c r="BL41" s="115">
        <v>51</v>
      </c>
      <c r="BM41" s="115">
        <v>52</v>
      </c>
      <c r="BN41" s="115">
        <v>53</v>
      </c>
      <c r="BO41" s="115">
        <v>54</v>
      </c>
      <c r="BP41" s="115">
        <v>55</v>
      </c>
      <c r="BQ41" s="115">
        <v>56</v>
      </c>
      <c r="BR41" s="115">
        <v>57</v>
      </c>
      <c r="BS41" s="115">
        <v>58</v>
      </c>
      <c r="BT41" s="115">
        <v>59</v>
      </c>
      <c r="BU41" s="115">
        <v>60</v>
      </c>
      <c r="BV41" s="115">
        <v>61</v>
      </c>
      <c r="BW41" s="115">
        <v>62</v>
      </c>
      <c r="BX41" s="115">
        <v>63</v>
      </c>
      <c r="BY41" s="115">
        <v>64</v>
      </c>
      <c r="BZ41" s="115">
        <v>65</v>
      </c>
      <c r="CA41" s="115">
        <v>66</v>
      </c>
      <c r="CB41" s="115">
        <v>67</v>
      </c>
      <c r="CC41" s="115">
        <v>68</v>
      </c>
      <c r="CD41" s="115">
        <v>69</v>
      </c>
      <c r="CE41" s="115">
        <v>70</v>
      </c>
      <c r="CF41" s="115">
        <v>71</v>
      </c>
      <c r="CG41" s="115">
        <v>72</v>
      </c>
      <c r="CH41" s="115">
        <v>73</v>
      </c>
      <c r="CI41" s="115">
        <v>74</v>
      </c>
      <c r="CJ41" s="115">
        <v>75</v>
      </c>
      <c r="CK41" s="115">
        <v>76</v>
      </c>
      <c r="CL41" s="115">
        <v>77</v>
      </c>
      <c r="CM41" s="115">
        <v>78</v>
      </c>
      <c r="CN41" s="115">
        <v>79</v>
      </c>
      <c r="CO41" s="115">
        <v>80</v>
      </c>
      <c r="CP41" s="115">
        <v>81</v>
      </c>
      <c r="CQ41" s="115">
        <v>82</v>
      </c>
      <c r="CR41" s="115">
        <v>83</v>
      </c>
      <c r="CS41" s="115">
        <v>84</v>
      </c>
      <c r="CT41" s="115">
        <v>85</v>
      </c>
      <c r="CU41" s="115">
        <v>86</v>
      </c>
      <c r="CV41" s="115">
        <v>87</v>
      </c>
      <c r="CW41" s="115">
        <v>88</v>
      </c>
      <c r="CX41" s="115">
        <v>89</v>
      </c>
      <c r="CY41" s="115">
        <v>90</v>
      </c>
      <c r="CZ41" s="115">
        <v>91</v>
      </c>
      <c r="DA41" s="115">
        <v>92</v>
      </c>
      <c r="DB41" s="115">
        <v>93</v>
      </c>
      <c r="DC41" s="115">
        <v>94</v>
      </c>
      <c r="DD41" s="115">
        <v>95</v>
      </c>
      <c r="DE41" s="115">
        <v>96</v>
      </c>
      <c r="DF41" s="115">
        <v>97</v>
      </c>
      <c r="DG41" s="115">
        <v>98</v>
      </c>
      <c r="DH41" s="115">
        <v>99</v>
      </c>
      <c r="DI41" s="115">
        <v>100</v>
      </c>
      <c r="DK41" s="110" t="s">
        <v>275</v>
      </c>
      <c r="DL41" s="115">
        <v>0</v>
      </c>
      <c r="DM41" s="115">
        <v>1</v>
      </c>
      <c r="DN41" s="115">
        <v>2</v>
      </c>
      <c r="DO41" s="115">
        <v>3</v>
      </c>
      <c r="DP41" s="115">
        <v>4</v>
      </c>
      <c r="DQ41" s="115">
        <v>5</v>
      </c>
      <c r="DR41" s="115">
        <v>6</v>
      </c>
      <c r="DS41" s="115">
        <v>7</v>
      </c>
      <c r="DT41" s="115">
        <v>8</v>
      </c>
      <c r="DU41" s="115">
        <v>9</v>
      </c>
      <c r="DV41" s="115">
        <v>10</v>
      </c>
      <c r="DW41" s="115">
        <v>11</v>
      </c>
      <c r="DX41" s="115">
        <v>12</v>
      </c>
      <c r="DY41" s="115">
        <v>13</v>
      </c>
      <c r="DZ41" s="115">
        <v>14</v>
      </c>
      <c r="EA41" s="115">
        <v>15</v>
      </c>
      <c r="EB41" s="115">
        <v>16</v>
      </c>
      <c r="EC41" s="115">
        <v>17</v>
      </c>
      <c r="ED41" s="115">
        <v>18</v>
      </c>
      <c r="EE41" s="115">
        <v>19</v>
      </c>
      <c r="EF41" s="115">
        <v>20</v>
      </c>
      <c r="EG41" s="115">
        <v>21</v>
      </c>
      <c r="EH41" s="115">
        <v>22</v>
      </c>
      <c r="EI41" s="115">
        <v>23</v>
      </c>
      <c r="EJ41" s="115">
        <v>24</v>
      </c>
      <c r="EK41" s="115">
        <v>25</v>
      </c>
      <c r="EL41" s="115">
        <v>26</v>
      </c>
      <c r="EM41" s="115">
        <v>27</v>
      </c>
      <c r="EN41" s="115">
        <v>28</v>
      </c>
      <c r="EO41" s="115">
        <v>29</v>
      </c>
      <c r="EP41" s="115">
        <v>30</v>
      </c>
      <c r="EQ41" s="115">
        <v>31</v>
      </c>
      <c r="ER41" s="115">
        <v>32</v>
      </c>
      <c r="ES41" s="115">
        <v>33</v>
      </c>
      <c r="ET41" s="115">
        <v>34</v>
      </c>
      <c r="EU41" s="115">
        <v>35</v>
      </c>
      <c r="EV41" s="115">
        <v>36</v>
      </c>
      <c r="EW41" s="115">
        <v>37</v>
      </c>
      <c r="EX41" s="115">
        <v>38</v>
      </c>
      <c r="EY41" s="115">
        <v>39</v>
      </c>
      <c r="EZ41" s="115">
        <v>40</v>
      </c>
      <c r="FA41" s="115">
        <v>41</v>
      </c>
      <c r="FB41" s="115">
        <v>42</v>
      </c>
      <c r="FC41" s="115">
        <v>43</v>
      </c>
      <c r="FD41" s="115">
        <v>44</v>
      </c>
      <c r="FE41" s="115">
        <v>45</v>
      </c>
      <c r="FF41" s="115">
        <v>46</v>
      </c>
      <c r="FG41" s="115">
        <v>47</v>
      </c>
      <c r="FH41" s="115">
        <v>48</v>
      </c>
      <c r="FI41" s="115">
        <v>49</v>
      </c>
      <c r="FJ41" s="115">
        <v>50</v>
      </c>
      <c r="FK41" s="115">
        <v>51</v>
      </c>
      <c r="FL41" s="115">
        <v>52</v>
      </c>
      <c r="FM41" s="115">
        <v>53</v>
      </c>
      <c r="FN41" s="115">
        <v>54</v>
      </c>
      <c r="FO41" s="115">
        <v>55</v>
      </c>
      <c r="FP41" s="115">
        <v>56</v>
      </c>
      <c r="FQ41" s="115">
        <v>57</v>
      </c>
      <c r="FR41" s="115">
        <v>58</v>
      </c>
      <c r="FS41" s="115">
        <v>59</v>
      </c>
      <c r="FT41" s="115">
        <v>60</v>
      </c>
      <c r="FU41" s="115">
        <v>61</v>
      </c>
      <c r="FV41" s="115">
        <v>62</v>
      </c>
      <c r="FW41" s="115">
        <v>63</v>
      </c>
      <c r="FX41" s="115">
        <v>64</v>
      </c>
      <c r="FY41" s="115">
        <v>65</v>
      </c>
      <c r="FZ41" s="115">
        <v>66</v>
      </c>
      <c r="GA41" s="115">
        <v>67</v>
      </c>
      <c r="GB41" s="115">
        <v>68</v>
      </c>
      <c r="GC41" s="115">
        <v>69</v>
      </c>
      <c r="GD41" s="115">
        <v>70</v>
      </c>
      <c r="GE41" s="115">
        <v>71</v>
      </c>
      <c r="GF41" s="115">
        <v>72</v>
      </c>
      <c r="GG41" s="115">
        <v>73</v>
      </c>
      <c r="GH41" s="115">
        <v>74</v>
      </c>
      <c r="GI41" s="115">
        <v>75</v>
      </c>
      <c r="GJ41" s="115">
        <v>76</v>
      </c>
      <c r="GK41" s="115">
        <v>77</v>
      </c>
      <c r="GL41" s="115">
        <v>78</v>
      </c>
      <c r="GM41" s="115">
        <v>79</v>
      </c>
      <c r="GN41" s="115">
        <v>80</v>
      </c>
      <c r="GO41" s="115">
        <v>81</v>
      </c>
      <c r="GP41" s="115">
        <v>82</v>
      </c>
      <c r="GQ41" s="115">
        <v>83</v>
      </c>
      <c r="GR41" s="115">
        <v>84</v>
      </c>
      <c r="GS41" s="115">
        <v>85</v>
      </c>
      <c r="GT41" s="115">
        <v>86</v>
      </c>
      <c r="GU41" s="115">
        <v>87</v>
      </c>
      <c r="GV41" s="115">
        <v>88</v>
      </c>
      <c r="GW41" s="115">
        <v>89</v>
      </c>
      <c r="GX41" s="115">
        <v>90</v>
      </c>
      <c r="GY41" s="115">
        <v>91</v>
      </c>
      <c r="GZ41" s="115">
        <v>92</v>
      </c>
      <c r="HA41" s="115">
        <v>93</v>
      </c>
      <c r="HB41" s="115">
        <v>94</v>
      </c>
      <c r="HC41" s="115">
        <v>95</v>
      </c>
      <c r="HD41" s="115">
        <v>96</v>
      </c>
      <c r="HE41" s="115">
        <v>97</v>
      </c>
      <c r="HF41" s="115">
        <v>98</v>
      </c>
      <c r="HG41" s="115">
        <v>99</v>
      </c>
      <c r="HH41" s="115">
        <v>100</v>
      </c>
    </row>
    <row r="42" spans="2:216" s="61" customFormat="1" ht="12" x14ac:dyDescent="0.3">
      <c r="B42" s="112" t="s">
        <v>276</v>
      </c>
      <c r="C42" s="113">
        <v>1</v>
      </c>
      <c r="D42" s="113">
        <v>0</v>
      </c>
      <c r="E42" s="113">
        <v>0</v>
      </c>
      <c r="F42" s="113">
        <v>0</v>
      </c>
      <c r="G42" s="113">
        <v>0</v>
      </c>
      <c r="H42" s="113">
        <v>0</v>
      </c>
      <c r="I42" s="113">
        <v>0</v>
      </c>
      <c r="J42" s="113">
        <v>0</v>
      </c>
      <c r="L42" s="112" t="s">
        <v>276</v>
      </c>
      <c r="M42" s="113">
        <v>0</v>
      </c>
      <c r="N42" s="113">
        <v>0</v>
      </c>
      <c r="O42" s="113">
        <v>0</v>
      </c>
      <c r="P42" s="113">
        <v>0</v>
      </c>
      <c r="Q42" s="113">
        <v>0</v>
      </c>
      <c r="R42" s="113">
        <v>0</v>
      </c>
      <c r="S42" s="113">
        <v>0</v>
      </c>
      <c r="T42" s="113">
        <v>0</v>
      </c>
      <c r="U42" s="113">
        <v>0</v>
      </c>
      <c r="V42" s="113">
        <v>0</v>
      </c>
      <c r="W42" s="113">
        <v>0</v>
      </c>
      <c r="X42" s="113">
        <v>0</v>
      </c>
      <c r="Y42" s="113">
        <v>0</v>
      </c>
      <c r="Z42" s="113">
        <v>0</v>
      </c>
      <c r="AA42" s="113">
        <v>0</v>
      </c>
      <c r="AB42" s="113">
        <v>0</v>
      </c>
      <c r="AC42" s="113">
        <v>0</v>
      </c>
      <c r="AD42" s="113">
        <v>0</v>
      </c>
      <c r="AE42" s="113">
        <v>0</v>
      </c>
      <c r="AF42" s="113">
        <v>0</v>
      </c>
      <c r="AG42" s="113">
        <v>0</v>
      </c>
      <c r="AH42" s="113">
        <v>0</v>
      </c>
      <c r="AI42" s="113">
        <v>0</v>
      </c>
      <c r="AJ42" s="113">
        <v>0</v>
      </c>
      <c r="AK42" s="113">
        <v>0</v>
      </c>
      <c r="AL42" s="113">
        <v>0</v>
      </c>
      <c r="AM42" s="113">
        <v>0</v>
      </c>
      <c r="AN42" s="113">
        <v>0</v>
      </c>
      <c r="AO42" s="113">
        <v>0</v>
      </c>
      <c r="AP42" s="113">
        <v>0</v>
      </c>
      <c r="AQ42" s="113">
        <v>0</v>
      </c>
      <c r="AR42" s="113">
        <v>0</v>
      </c>
      <c r="AS42" s="113">
        <v>0</v>
      </c>
      <c r="AT42" s="113">
        <v>0</v>
      </c>
      <c r="AU42" s="113">
        <v>0</v>
      </c>
      <c r="AV42" s="113">
        <v>0</v>
      </c>
      <c r="AW42" s="113">
        <v>0</v>
      </c>
      <c r="AX42" s="113">
        <v>0</v>
      </c>
      <c r="AY42" s="113">
        <v>0</v>
      </c>
      <c r="AZ42" s="113">
        <v>0</v>
      </c>
      <c r="BA42" s="113">
        <v>0</v>
      </c>
      <c r="BB42" s="113">
        <v>0</v>
      </c>
      <c r="BC42" s="113">
        <v>0</v>
      </c>
      <c r="BD42" s="113">
        <v>0</v>
      </c>
      <c r="BE42" s="113">
        <v>0</v>
      </c>
      <c r="BF42" s="113">
        <v>0</v>
      </c>
      <c r="BG42" s="113">
        <v>0</v>
      </c>
      <c r="BH42" s="113">
        <v>0</v>
      </c>
      <c r="BI42" s="113">
        <v>0</v>
      </c>
      <c r="BJ42" s="113">
        <v>0</v>
      </c>
      <c r="BK42" s="113">
        <v>0</v>
      </c>
      <c r="BL42" s="113">
        <v>0</v>
      </c>
      <c r="BM42" s="113">
        <v>0</v>
      </c>
      <c r="BN42" s="113">
        <v>0</v>
      </c>
      <c r="BO42" s="113">
        <v>0</v>
      </c>
      <c r="BP42" s="113">
        <v>0</v>
      </c>
      <c r="BQ42" s="113">
        <v>0</v>
      </c>
      <c r="BR42" s="113">
        <v>0</v>
      </c>
      <c r="BS42" s="113">
        <v>0</v>
      </c>
      <c r="BT42" s="113">
        <v>0</v>
      </c>
      <c r="BU42" s="113">
        <v>0</v>
      </c>
      <c r="BV42" s="113">
        <v>0</v>
      </c>
      <c r="BW42" s="113">
        <v>0</v>
      </c>
      <c r="BX42" s="113">
        <v>0</v>
      </c>
      <c r="BY42" s="113">
        <v>0</v>
      </c>
      <c r="BZ42" s="113">
        <v>0</v>
      </c>
      <c r="CA42" s="113">
        <v>0</v>
      </c>
      <c r="CB42" s="113">
        <v>0</v>
      </c>
      <c r="CC42" s="113">
        <v>0</v>
      </c>
      <c r="CD42" s="113">
        <v>0</v>
      </c>
      <c r="CE42" s="113">
        <v>0</v>
      </c>
      <c r="CF42" s="113">
        <v>0</v>
      </c>
      <c r="CG42" s="113">
        <v>0</v>
      </c>
      <c r="CH42" s="113">
        <v>0</v>
      </c>
      <c r="CI42" s="113">
        <v>0</v>
      </c>
      <c r="CJ42" s="113">
        <v>0</v>
      </c>
      <c r="CK42" s="113">
        <v>0</v>
      </c>
      <c r="CL42" s="113">
        <v>0</v>
      </c>
      <c r="CM42" s="113">
        <v>0</v>
      </c>
      <c r="CN42" s="113">
        <v>0</v>
      </c>
      <c r="CO42" s="113">
        <v>0</v>
      </c>
      <c r="CP42" s="113">
        <v>0</v>
      </c>
      <c r="CQ42" s="113">
        <v>0</v>
      </c>
      <c r="CR42" s="113">
        <v>0</v>
      </c>
      <c r="CS42" s="113">
        <v>0</v>
      </c>
      <c r="CT42" s="113">
        <v>0</v>
      </c>
      <c r="CU42" s="113">
        <v>0</v>
      </c>
      <c r="CV42" s="113">
        <v>0</v>
      </c>
      <c r="CW42" s="113">
        <v>0</v>
      </c>
      <c r="CX42" s="113">
        <v>0</v>
      </c>
      <c r="CY42" s="113">
        <v>0</v>
      </c>
      <c r="CZ42" s="113">
        <v>0</v>
      </c>
      <c r="DA42" s="113">
        <v>0</v>
      </c>
      <c r="DB42" s="113">
        <v>0</v>
      </c>
      <c r="DC42" s="113">
        <v>0</v>
      </c>
      <c r="DD42" s="113">
        <v>0</v>
      </c>
      <c r="DE42" s="113">
        <v>0</v>
      </c>
      <c r="DF42" s="113">
        <v>0</v>
      </c>
      <c r="DG42" s="113">
        <v>0</v>
      </c>
      <c r="DH42" s="113">
        <v>0</v>
      </c>
      <c r="DI42" s="113">
        <v>0</v>
      </c>
      <c r="DK42" s="112" t="s">
        <v>276</v>
      </c>
      <c r="DL42" s="113">
        <v>0</v>
      </c>
      <c r="DM42" s="113">
        <v>0</v>
      </c>
      <c r="DN42" s="113">
        <v>0</v>
      </c>
      <c r="DO42" s="113">
        <v>0</v>
      </c>
      <c r="DP42" s="113">
        <v>0</v>
      </c>
      <c r="DQ42" s="113">
        <v>0</v>
      </c>
      <c r="DR42" s="113">
        <v>0</v>
      </c>
      <c r="DS42" s="113">
        <v>0</v>
      </c>
      <c r="DT42" s="113">
        <v>0</v>
      </c>
      <c r="DU42" s="113">
        <v>0</v>
      </c>
      <c r="DV42" s="113">
        <v>0</v>
      </c>
      <c r="DW42" s="113">
        <v>0</v>
      </c>
      <c r="DX42" s="113">
        <v>0</v>
      </c>
      <c r="DY42" s="113">
        <v>0</v>
      </c>
      <c r="DZ42" s="113">
        <v>0</v>
      </c>
      <c r="EA42" s="113">
        <v>0</v>
      </c>
      <c r="EB42" s="113">
        <v>0</v>
      </c>
      <c r="EC42" s="113">
        <v>0</v>
      </c>
      <c r="ED42" s="113">
        <v>0</v>
      </c>
      <c r="EE42" s="113">
        <v>0</v>
      </c>
      <c r="EF42" s="113">
        <v>0</v>
      </c>
      <c r="EG42" s="113">
        <v>0</v>
      </c>
      <c r="EH42" s="113">
        <v>0</v>
      </c>
      <c r="EI42" s="113">
        <v>0</v>
      </c>
      <c r="EJ42" s="113">
        <v>0</v>
      </c>
      <c r="EK42" s="113">
        <v>0</v>
      </c>
      <c r="EL42" s="113">
        <v>0</v>
      </c>
      <c r="EM42" s="113">
        <v>0</v>
      </c>
      <c r="EN42" s="113">
        <v>0</v>
      </c>
      <c r="EO42" s="113">
        <v>0</v>
      </c>
      <c r="EP42" s="113">
        <v>0</v>
      </c>
      <c r="EQ42" s="113">
        <v>0</v>
      </c>
      <c r="ER42" s="113">
        <v>0</v>
      </c>
      <c r="ES42" s="113">
        <v>0</v>
      </c>
      <c r="ET42" s="113">
        <v>0</v>
      </c>
      <c r="EU42" s="113">
        <v>0</v>
      </c>
      <c r="EV42" s="113">
        <v>0</v>
      </c>
      <c r="EW42" s="113">
        <v>0</v>
      </c>
      <c r="EX42" s="113">
        <v>0</v>
      </c>
      <c r="EY42" s="113">
        <v>0</v>
      </c>
      <c r="EZ42" s="113">
        <v>0</v>
      </c>
      <c r="FA42" s="113">
        <v>0</v>
      </c>
      <c r="FB42" s="113">
        <v>0</v>
      </c>
      <c r="FC42" s="113">
        <v>0</v>
      </c>
      <c r="FD42" s="113">
        <v>0</v>
      </c>
      <c r="FE42" s="113">
        <v>0</v>
      </c>
      <c r="FF42" s="113">
        <v>0</v>
      </c>
      <c r="FG42" s="113">
        <v>0</v>
      </c>
      <c r="FH42" s="113">
        <v>0</v>
      </c>
      <c r="FI42" s="113">
        <v>0</v>
      </c>
      <c r="FJ42" s="113">
        <v>0</v>
      </c>
      <c r="FK42" s="113">
        <v>0</v>
      </c>
      <c r="FL42" s="113">
        <v>0</v>
      </c>
      <c r="FM42" s="113">
        <v>0</v>
      </c>
      <c r="FN42" s="113">
        <v>0</v>
      </c>
      <c r="FO42" s="113">
        <v>0</v>
      </c>
      <c r="FP42" s="113">
        <v>0</v>
      </c>
      <c r="FQ42" s="113">
        <v>0</v>
      </c>
      <c r="FR42" s="113">
        <v>0</v>
      </c>
      <c r="FS42" s="113">
        <v>0</v>
      </c>
      <c r="FT42" s="113">
        <v>0</v>
      </c>
      <c r="FU42" s="113">
        <v>0</v>
      </c>
      <c r="FV42" s="113">
        <v>0</v>
      </c>
      <c r="FW42" s="113">
        <v>0</v>
      </c>
      <c r="FX42" s="113">
        <v>0</v>
      </c>
      <c r="FY42" s="113">
        <v>0</v>
      </c>
      <c r="FZ42" s="113">
        <v>0</v>
      </c>
      <c r="GA42" s="113">
        <v>0</v>
      </c>
      <c r="GB42" s="113">
        <v>0</v>
      </c>
      <c r="GC42" s="113">
        <v>0</v>
      </c>
      <c r="GD42" s="113">
        <v>0</v>
      </c>
      <c r="GE42" s="113">
        <v>0</v>
      </c>
      <c r="GF42" s="113">
        <v>0</v>
      </c>
      <c r="GG42" s="113">
        <v>0</v>
      </c>
      <c r="GH42" s="113">
        <v>0</v>
      </c>
      <c r="GI42" s="113">
        <v>0</v>
      </c>
      <c r="GJ42" s="113">
        <v>0</v>
      </c>
      <c r="GK42" s="113">
        <v>0</v>
      </c>
      <c r="GL42" s="113">
        <v>0</v>
      </c>
      <c r="GM42" s="113">
        <v>0</v>
      </c>
      <c r="GN42" s="113">
        <v>0</v>
      </c>
      <c r="GO42" s="113">
        <v>0</v>
      </c>
      <c r="GP42" s="113">
        <v>0</v>
      </c>
      <c r="GQ42" s="113">
        <v>0</v>
      </c>
      <c r="GR42" s="113">
        <v>0</v>
      </c>
      <c r="GS42" s="113">
        <v>0</v>
      </c>
      <c r="GT42" s="113">
        <v>0</v>
      </c>
      <c r="GU42" s="113">
        <v>0</v>
      </c>
      <c r="GV42" s="113">
        <v>0</v>
      </c>
      <c r="GW42" s="113">
        <v>0</v>
      </c>
      <c r="GX42" s="113">
        <v>0</v>
      </c>
      <c r="GY42" s="113">
        <v>0</v>
      </c>
      <c r="GZ42" s="113">
        <v>0</v>
      </c>
      <c r="HA42" s="113">
        <v>0</v>
      </c>
      <c r="HB42" s="113">
        <v>0</v>
      </c>
      <c r="HC42" s="113">
        <v>0</v>
      </c>
      <c r="HD42" s="113">
        <v>0</v>
      </c>
      <c r="HE42" s="113">
        <v>0</v>
      </c>
      <c r="HF42" s="113">
        <v>0</v>
      </c>
      <c r="HG42" s="113">
        <v>0</v>
      </c>
      <c r="HH42" s="113">
        <v>0</v>
      </c>
    </row>
    <row r="43" spans="2:216" s="61" customFormat="1" ht="12" x14ac:dyDescent="0.3">
      <c r="B43" s="112" t="s">
        <v>277</v>
      </c>
      <c r="C43" s="113">
        <v>0</v>
      </c>
      <c r="D43" s="113">
        <v>1</v>
      </c>
      <c r="E43" s="113">
        <v>0</v>
      </c>
      <c r="F43" s="113">
        <v>0</v>
      </c>
      <c r="G43" s="113">
        <v>0</v>
      </c>
      <c r="H43" s="113">
        <v>0</v>
      </c>
      <c r="I43" s="113">
        <v>0</v>
      </c>
      <c r="J43" s="113">
        <v>0</v>
      </c>
      <c r="L43" s="112" t="s">
        <v>277</v>
      </c>
      <c r="M43" s="113">
        <v>0</v>
      </c>
      <c r="N43" s="113">
        <v>0</v>
      </c>
      <c r="O43" s="113">
        <v>0</v>
      </c>
      <c r="P43" s="113">
        <v>0</v>
      </c>
      <c r="Q43" s="113">
        <v>0</v>
      </c>
      <c r="R43" s="113">
        <v>0</v>
      </c>
      <c r="S43" s="113">
        <v>0</v>
      </c>
      <c r="T43" s="113">
        <v>0</v>
      </c>
      <c r="U43" s="113">
        <v>0</v>
      </c>
      <c r="V43" s="113">
        <v>0</v>
      </c>
      <c r="W43" s="113">
        <v>0</v>
      </c>
      <c r="X43" s="113">
        <v>0</v>
      </c>
      <c r="Y43" s="113">
        <v>0</v>
      </c>
      <c r="Z43" s="113">
        <v>0</v>
      </c>
      <c r="AA43" s="113">
        <v>0</v>
      </c>
      <c r="AB43" s="113">
        <v>0</v>
      </c>
      <c r="AC43" s="113">
        <v>0</v>
      </c>
      <c r="AD43" s="113">
        <v>0</v>
      </c>
      <c r="AE43" s="113">
        <v>0</v>
      </c>
      <c r="AF43" s="113">
        <v>0</v>
      </c>
      <c r="AG43" s="113">
        <v>0</v>
      </c>
      <c r="AH43" s="113">
        <v>0</v>
      </c>
      <c r="AI43" s="113">
        <v>0</v>
      </c>
      <c r="AJ43" s="113">
        <v>0</v>
      </c>
      <c r="AK43" s="113">
        <v>0</v>
      </c>
      <c r="AL43" s="113">
        <v>0</v>
      </c>
      <c r="AM43" s="113">
        <v>0</v>
      </c>
      <c r="AN43" s="113">
        <v>0</v>
      </c>
      <c r="AO43" s="113">
        <v>0</v>
      </c>
      <c r="AP43" s="113">
        <v>0</v>
      </c>
      <c r="AQ43" s="113">
        <v>0</v>
      </c>
      <c r="AR43" s="113">
        <v>0</v>
      </c>
      <c r="AS43" s="113">
        <v>0</v>
      </c>
      <c r="AT43" s="113">
        <v>0</v>
      </c>
      <c r="AU43" s="113">
        <v>0</v>
      </c>
      <c r="AV43" s="113">
        <v>0</v>
      </c>
      <c r="AW43" s="113">
        <v>0</v>
      </c>
      <c r="AX43" s="113">
        <v>0</v>
      </c>
      <c r="AY43" s="113">
        <v>0</v>
      </c>
      <c r="AZ43" s="113">
        <v>0</v>
      </c>
      <c r="BA43" s="113">
        <v>0</v>
      </c>
      <c r="BB43" s="113">
        <v>0</v>
      </c>
      <c r="BC43" s="113">
        <v>0</v>
      </c>
      <c r="BD43" s="113">
        <v>0</v>
      </c>
      <c r="BE43" s="113">
        <v>0</v>
      </c>
      <c r="BF43" s="113">
        <v>0</v>
      </c>
      <c r="BG43" s="113">
        <v>0</v>
      </c>
      <c r="BH43" s="113">
        <v>0</v>
      </c>
      <c r="BI43" s="113">
        <v>0</v>
      </c>
      <c r="BJ43" s="113">
        <v>0</v>
      </c>
      <c r="BK43" s="113">
        <v>0</v>
      </c>
      <c r="BL43" s="113">
        <v>0</v>
      </c>
      <c r="BM43" s="113">
        <v>0</v>
      </c>
      <c r="BN43" s="113">
        <v>0</v>
      </c>
      <c r="BO43" s="113">
        <v>0</v>
      </c>
      <c r="BP43" s="113">
        <v>0</v>
      </c>
      <c r="BQ43" s="113">
        <v>0</v>
      </c>
      <c r="BR43" s="113">
        <v>0</v>
      </c>
      <c r="BS43" s="113">
        <v>0</v>
      </c>
      <c r="BT43" s="113">
        <v>0</v>
      </c>
      <c r="BU43" s="113">
        <v>0</v>
      </c>
      <c r="BV43" s="113">
        <v>0</v>
      </c>
      <c r="BW43" s="113">
        <v>0</v>
      </c>
      <c r="BX43" s="113">
        <v>0</v>
      </c>
      <c r="BY43" s="113">
        <v>0</v>
      </c>
      <c r="BZ43" s="113">
        <v>0</v>
      </c>
      <c r="CA43" s="113">
        <v>0</v>
      </c>
      <c r="CB43" s="113">
        <v>0</v>
      </c>
      <c r="CC43" s="113">
        <v>0</v>
      </c>
      <c r="CD43" s="113">
        <v>0</v>
      </c>
      <c r="CE43" s="113">
        <v>0</v>
      </c>
      <c r="CF43" s="113">
        <v>0</v>
      </c>
      <c r="CG43" s="113">
        <v>0</v>
      </c>
      <c r="CH43" s="113">
        <v>0</v>
      </c>
      <c r="CI43" s="113">
        <v>0</v>
      </c>
      <c r="CJ43" s="113">
        <v>0</v>
      </c>
      <c r="CK43" s="113">
        <v>0</v>
      </c>
      <c r="CL43" s="113">
        <v>0</v>
      </c>
      <c r="CM43" s="113">
        <v>0</v>
      </c>
      <c r="CN43" s="113">
        <v>0</v>
      </c>
      <c r="CO43" s="113">
        <v>0</v>
      </c>
      <c r="CP43" s="113">
        <v>0</v>
      </c>
      <c r="CQ43" s="113">
        <v>0</v>
      </c>
      <c r="CR43" s="113">
        <v>0</v>
      </c>
      <c r="CS43" s="113">
        <v>0</v>
      </c>
      <c r="CT43" s="113">
        <v>0</v>
      </c>
      <c r="CU43" s="113">
        <v>0</v>
      </c>
      <c r="CV43" s="113">
        <v>0</v>
      </c>
      <c r="CW43" s="113">
        <v>0</v>
      </c>
      <c r="CX43" s="113">
        <v>0</v>
      </c>
      <c r="CY43" s="113">
        <v>0</v>
      </c>
      <c r="CZ43" s="113">
        <v>0</v>
      </c>
      <c r="DA43" s="113">
        <v>0</v>
      </c>
      <c r="DB43" s="113">
        <v>0</v>
      </c>
      <c r="DC43" s="113">
        <v>0</v>
      </c>
      <c r="DD43" s="113">
        <v>0</v>
      </c>
      <c r="DE43" s="113">
        <v>0</v>
      </c>
      <c r="DF43" s="113">
        <v>0</v>
      </c>
      <c r="DG43" s="113">
        <v>0</v>
      </c>
      <c r="DH43" s="113">
        <v>0</v>
      </c>
      <c r="DI43" s="113">
        <v>0</v>
      </c>
      <c r="DK43" s="112" t="s">
        <v>277</v>
      </c>
      <c r="DL43" s="113">
        <v>0</v>
      </c>
      <c r="DM43" s="113">
        <v>0</v>
      </c>
      <c r="DN43" s="113">
        <v>0</v>
      </c>
      <c r="DO43" s="113">
        <v>0</v>
      </c>
      <c r="DP43" s="113">
        <v>0</v>
      </c>
      <c r="DQ43" s="113">
        <v>0</v>
      </c>
      <c r="DR43" s="113">
        <v>0</v>
      </c>
      <c r="DS43" s="113">
        <v>0</v>
      </c>
      <c r="DT43" s="113">
        <v>0</v>
      </c>
      <c r="DU43" s="113">
        <v>0</v>
      </c>
      <c r="DV43" s="113">
        <v>0</v>
      </c>
      <c r="DW43" s="113">
        <v>0</v>
      </c>
      <c r="DX43" s="113">
        <v>0</v>
      </c>
      <c r="DY43" s="113">
        <v>0</v>
      </c>
      <c r="DZ43" s="113">
        <v>0</v>
      </c>
      <c r="EA43" s="113">
        <v>0</v>
      </c>
      <c r="EB43" s="113">
        <v>0</v>
      </c>
      <c r="EC43" s="113">
        <v>0</v>
      </c>
      <c r="ED43" s="113">
        <v>0</v>
      </c>
      <c r="EE43" s="113">
        <v>0</v>
      </c>
      <c r="EF43" s="113">
        <v>0</v>
      </c>
      <c r="EG43" s="113">
        <v>0</v>
      </c>
      <c r="EH43" s="113">
        <v>0</v>
      </c>
      <c r="EI43" s="113">
        <v>0</v>
      </c>
      <c r="EJ43" s="113">
        <v>0</v>
      </c>
      <c r="EK43" s="113">
        <v>0</v>
      </c>
      <c r="EL43" s="113">
        <v>0</v>
      </c>
      <c r="EM43" s="113">
        <v>0</v>
      </c>
      <c r="EN43" s="113">
        <v>0</v>
      </c>
      <c r="EO43" s="113">
        <v>0</v>
      </c>
      <c r="EP43" s="113">
        <v>0</v>
      </c>
      <c r="EQ43" s="113">
        <v>0</v>
      </c>
      <c r="ER43" s="113">
        <v>0</v>
      </c>
      <c r="ES43" s="113">
        <v>0</v>
      </c>
      <c r="ET43" s="113">
        <v>0</v>
      </c>
      <c r="EU43" s="113">
        <v>0</v>
      </c>
      <c r="EV43" s="113">
        <v>0</v>
      </c>
      <c r="EW43" s="113">
        <v>0</v>
      </c>
      <c r="EX43" s="113">
        <v>0</v>
      </c>
      <c r="EY43" s="113">
        <v>0</v>
      </c>
      <c r="EZ43" s="113">
        <v>0</v>
      </c>
      <c r="FA43" s="113">
        <v>0</v>
      </c>
      <c r="FB43" s="113">
        <v>0</v>
      </c>
      <c r="FC43" s="113">
        <v>0</v>
      </c>
      <c r="FD43" s="113">
        <v>0</v>
      </c>
      <c r="FE43" s="113">
        <v>0</v>
      </c>
      <c r="FF43" s="113">
        <v>0</v>
      </c>
      <c r="FG43" s="113">
        <v>0</v>
      </c>
      <c r="FH43" s="113">
        <v>0</v>
      </c>
      <c r="FI43" s="113">
        <v>0</v>
      </c>
      <c r="FJ43" s="113">
        <v>0</v>
      </c>
      <c r="FK43" s="113">
        <v>0</v>
      </c>
      <c r="FL43" s="113">
        <v>0</v>
      </c>
      <c r="FM43" s="113">
        <v>0</v>
      </c>
      <c r="FN43" s="113">
        <v>0</v>
      </c>
      <c r="FO43" s="113">
        <v>0</v>
      </c>
      <c r="FP43" s="113">
        <v>0</v>
      </c>
      <c r="FQ43" s="113">
        <v>0</v>
      </c>
      <c r="FR43" s="113">
        <v>0</v>
      </c>
      <c r="FS43" s="113">
        <v>0</v>
      </c>
      <c r="FT43" s="113">
        <v>0</v>
      </c>
      <c r="FU43" s="113">
        <v>0</v>
      </c>
      <c r="FV43" s="113">
        <v>0</v>
      </c>
      <c r="FW43" s="113">
        <v>0</v>
      </c>
      <c r="FX43" s="113">
        <v>0</v>
      </c>
      <c r="FY43" s="113">
        <v>0</v>
      </c>
      <c r="FZ43" s="113">
        <v>0</v>
      </c>
      <c r="GA43" s="113">
        <v>0</v>
      </c>
      <c r="GB43" s="113">
        <v>0</v>
      </c>
      <c r="GC43" s="113">
        <v>0</v>
      </c>
      <c r="GD43" s="113">
        <v>0</v>
      </c>
      <c r="GE43" s="113">
        <v>0</v>
      </c>
      <c r="GF43" s="113">
        <v>0</v>
      </c>
      <c r="GG43" s="113">
        <v>0</v>
      </c>
      <c r="GH43" s="113">
        <v>0</v>
      </c>
      <c r="GI43" s="113">
        <v>0</v>
      </c>
      <c r="GJ43" s="113">
        <v>0</v>
      </c>
      <c r="GK43" s="113">
        <v>0</v>
      </c>
      <c r="GL43" s="113">
        <v>0</v>
      </c>
      <c r="GM43" s="113">
        <v>0</v>
      </c>
      <c r="GN43" s="113">
        <v>0</v>
      </c>
      <c r="GO43" s="113">
        <v>0</v>
      </c>
      <c r="GP43" s="113">
        <v>0</v>
      </c>
      <c r="GQ43" s="113">
        <v>0</v>
      </c>
      <c r="GR43" s="113">
        <v>0</v>
      </c>
      <c r="GS43" s="113">
        <v>0</v>
      </c>
      <c r="GT43" s="113">
        <v>0</v>
      </c>
      <c r="GU43" s="113">
        <v>0</v>
      </c>
      <c r="GV43" s="113">
        <v>0</v>
      </c>
      <c r="GW43" s="113">
        <v>0</v>
      </c>
      <c r="GX43" s="113">
        <v>0</v>
      </c>
      <c r="GY43" s="113">
        <v>0</v>
      </c>
      <c r="GZ43" s="113">
        <v>0</v>
      </c>
      <c r="HA43" s="113">
        <v>0</v>
      </c>
      <c r="HB43" s="113">
        <v>0</v>
      </c>
      <c r="HC43" s="113">
        <v>0</v>
      </c>
      <c r="HD43" s="113">
        <v>0</v>
      </c>
      <c r="HE43" s="113">
        <v>0</v>
      </c>
      <c r="HF43" s="113">
        <v>0</v>
      </c>
      <c r="HG43" s="113">
        <v>0</v>
      </c>
      <c r="HH43" s="113">
        <v>0</v>
      </c>
    </row>
    <row r="44" spans="2:216" s="61" customFormat="1" ht="12" x14ac:dyDescent="0.3">
      <c r="B44" s="112" t="s">
        <v>278</v>
      </c>
      <c r="C44" s="113">
        <v>0</v>
      </c>
      <c r="D44" s="113">
        <v>0</v>
      </c>
      <c r="E44" s="113">
        <v>1</v>
      </c>
      <c r="F44" s="113">
        <v>0</v>
      </c>
      <c r="G44" s="113">
        <v>0</v>
      </c>
      <c r="H44" s="113">
        <v>0</v>
      </c>
      <c r="I44" s="113">
        <v>0</v>
      </c>
      <c r="J44" s="113">
        <v>0</v>
      </c>
      <c r="L44" s="112" t="s">
        <v>278</v>
      </c>
      <c r="M44" s="113">
        <v>0</v>
      </c>
      <c r="N44" s="113">
        <v>0</v>
      </c>
      <c r="O44" s="113">
        <v>0</v>
      </c>
      <c r="P44" s="113">
        <v>0</v>
      </c>
      <c r="Q44" s="113">
        <v>0</v>
      </c>
      <c r="R44" s="113">
        <v>0</v>
      </c>
      <c r="S44" s="113">
        <v>0</v>
      </c>
      <c r="T44" s="113">
        <v>0</v>
      </c>
      <c r="U44" s="113">
        <v>0</v>
      </c>
      <c r="V44" s="113">
        <v>0</v>
      </c>
      <c r="W44" s="113">
        <v>0</v>
      </c>
      <c r="X44" s="113">
        <v>0</v>
      </c>
      <c r="Y44" s="113">
        <v>0</v>
      </c>
      <c r="Z44" s="113">
        <v>0</v>
      </c>
      <c r="AA44" s="113">
        <v>0</v>
      </c>
      <c r="AB44" s="113">
        <v>0</v>
      </c>
      <c r="AC44" s="113">
        <v>0</v>
      </c>
      <c r="AD44" s="113">
        <v>0</v>
      </c>
      <c r="AE44" s="113">
        <v>0</v>
      </c>
      <c r="AF44" s="113">
        <v>0</v>
      </c>
      <c r="AG44" s="113">
        <v>0</v>
      </c>
      <c r="AH44" s="113">
        <v>0</v>
      </c>
      <c r="AI44" s="113">
        <v>0</v>
      </c>
      <c r="AJ44" s="113">
        <v>0</v>
      </c>
      <c r="AK44" s="113">
        <v>0</v>
      </c>
      <c r="AL44" s="113">
        <v>0</v>
      </c>
      <c r="AM44" s="113">
        <v>0</v>
      </c>
      <c r="AN44" s="113">
        <v>0</v>
      </c>
      <c r="AO44" s="113">
        <v>0</v>
      </c>
      <c r="AP44" s="113">
        <v>0</v>
      </c>
      <c r="AQ44" s="113">
        <v>0</v>
      </c>
      <c r="AR44" s="113">
        <v>0</v>
      </c>
      <c r="AS44" s="113">
        <v>0</v>
      </c>
      <c r="AT44" s="113">
        <v>0</v>
      </c>
      <c r="AU44" s="113">
        <v>0</v>
      </c>
      <c r="AV44" s="113">
        <v>0</v>
      </c>
      <c r="AW44" s="113">
        <v>0</v>
      </c>
      <c r="AX44" s="113">
        <v>0</v>
      </c>
      <c r="AY44" s="113">
        <v>0</v>
      </c>
      <c r="AZ44" s="113">
        <v>0</v>
      </c>
      <c r="BA44" s="113">
        <v>0</v>
      </c>
      <c r="BB44" s="113">
        <v>0</v>
      </c>
      <c r="BC44" s="113">
        <v>0</v>
      </c>
      <c r="BD44" s="113">
        <v>0</v>
      </c>
      <c r="BE44" s="113">
        <v>0</v>
      </c>
      <c r="BF44" s="113">
        <v>0</v>
      </c>
      <c r="BG44" s="113">
        <v>0</v>
      </c>
      <c r="BH44" s="113">
        <v>0</v>
      </c>
      <c r="BI44" s="113">
        <v>0</v>
      </c>
      <c r="BJ44" s="113">
        <v>0</v>
      </c>
      <c r="BK44" s="113">
        <v>0</v>
      </c>
      <c r="BL44" s="113">
        <v>0</v>
      </c>
      <c r="BM44" s="113">
        <v>0</v>
      </c>
      <c r="BN44" s="113">
        <v>0</v>
      </c>
      <c r="BO44" s="113">
        <v>0</v>
      </c>
      <c r="BP44" s="113">
        <v>0</v>
      </c>
      <c r="BQ44" s="113">
        <v>0</v>
      </c>
      <c r="BR44" s="113">
        <v>0</v>
      </c>
      <c r="BS44" s="113">
        <v>0</v>
      </c>
      <c r="BT44" s="113">
        <v>0</v>
      </c>
      <c r="BU44" s="113">
        <v>0</v>
      </c>
      <c r="BV44" s="113">
        <v>0</v>
      </c>
      <c r="BW44" s="113">
        <v>0</v>
      </c>
      <c r="BX44" s="113">
        <v>0</v>
      </c>
      <c r="BY44" s="113">
        <v>0</v>
      </c>
      <c r="BZ44" s="113">
        <v>0</v>
      </c>
      <c r="CA44" s="113">
        <v>0</v>
      </c>
      <c r="CB44" s="113">
        <v>0</v>
      </c>
      <c r="CC44" s="113">
        <v>0</v>
      </c>
      <c r="CD44" s="113">
        <v>0</v>
      </c>
      <c r="CE44" s="113">
        <v>0</v>
      </c>
      <c r="CF44" s="113">
        <v>0</v>
      </c>
      <c r="CG44" s="113">
        <v>0</v>
      </c>
      <c r="CH44" s="113">
        <v>0</v>
      </c>
      <c r="CI44" s="113">
        <v>0</v>
      </c>
      <c r="CJ44" s="113">
        <v>0</v>
      </c>
      <c r="CK44" s="113">
        <v>0</v>
      </c>
      <c r="CL44" s="113">
        <v>0</v>
      </c>
      <c r="CM44" s="113">
        <v>0</v>
      </c>
      <c r="CN44" s="113">
        <v>0</v>
      </c>
      <c r="CO44" s="113">
        <v>0</v>
      </c>
      <c r="CP44" s="113">
        <v>0</v>
      </c>
      <c r="CQ44" s="113">
        <v>0</v>
      </c>
      <c r="CR44" s="113">
        <v>0</v>
      </c>
      <c r="CS44" s="113">
        <v>0</v>
      </c>
      <c r="CT44" s="113">
        <v>0</v>
      </c>
      <c r="CU44" s="113">
        <v>0</v>
      </c>
      <c r="CV44" s="113">
        <v>0</v>
      </c>
      <c r="CW44" s="113">
        <v>0</v>
      </c>
      <c r="CX44" s="113">
        <v>0</v>
      </c>
      <c r="CY44" s="113">
        <v>0</v>
      </c>
      <c r="CZ44" s="113">
        <v>0</v>
      </c>
      <c r="DA44" s="113">
        <v>0</v>
      </c>
      <c r="DB44" s="113">
        <v>0</v>
      </c>
      <c r="DC44" s="113">
        <v>0</v>
      </c>
      <c r="DD44" s="113">
        <v>0</v>
      </c>
      <c r="DE44" s="113">
        <v>0</v>
      </c>
      <c r="DF44" s="113">
        <v>0</v>
      </c>
      <c r="DG44" s="113">
        <v>0</v>
      </c>
      <c r="DH44" s="113">
        <v>0</v>
      </c>
      <c r="DI44" s="113">
        <v>0</v>
      </c>
      <c r="DK44" s="112" t="s">
        <v>278</v>
      </c>
      <c r="DL44" s="113">
        <v>0</v>
      </c>
      <c r="DM44" s="113">
        <v>0</v>
      </c>
      <c r="DN44" s="113">
        <v>0</v>
      </c>
      <c r="DO44" s="113">
        <v>0</v>
      </c>
      <c r="DP44" s="113">
        <v>0</v>
      </c>
      <c r="DQ44" s="113">
        <v>0</v>
      </c>
      <c r="DR44" s="113">
        <v>0</v>
      </c>
      <c r="DS44" s="113">
        <v>0</v>
      </c>
      <c r="DT44" s="113">
        <v>0</v>
      </c>
      <c r="DU44" s="113">
        <v>0</v>
      </c>
      <c r="DV44" s="113">
        <v>0</v>
      </c>
      <c r="DW44" s="113">
        <v>0</v>
      </c>
      <c r="DX44" s="113">
        <v>0</v>
      </c>
      <c r="DY44" s="113">
        <v>0</v>
      </c>
      <c r="DZ44" s="113">
        <v>0</v>
      </c>
      <c r="EA44" s="113">
        <v>0</v>
      </c>
      <c r="EB44" s="113">
        <v>0</v>
      </c>
      <c r="EC44" s="113">
        <v>0</v>
      </c>
      <c r="ED44" s="113">
        <v>0</v>
      </c>
      <c r="EE44" s="113">
        <v>0</v>
      </c>
      <c r="EF44" s="113">
        <v>0</v>
      </c>
      <c r="EG44" s="113">
        <v>0</v>
      </c>
      <c r="EH44" s="113">
        <v>0</v>
      </c>
      <c r="EI44" s="113">
        <v>0</v>
      </c>
      <c r="EJ44" s="113">
        <v>0</v>
      </c>
      <c r="EK44" s="113">
        <v>0</v>
      </c>
      <c r="EL44" s="113">
        <v>0</v>
      </c>
      <c r="EM44" s="113">
        <v>0</v>
      </c>
      <c r="EN44" s="113">
        <v>0</v>
      </c>
      <c r="EO44" s="113">
        <v>0</v>
      </c>
      <c r="EP44" s="113">
        <v>0</v>
      </c>
      <c r="EQ44" s="113">
        <v>0</v>
      </c>
      <c r="ER44" s="113">
        <v>0</v>
      </c>
      <c r="ES44" s="113">
        <v>0</v>
      </c>
      <c r="ET44" s="113">
        <v>0</v>
      </c>
      <c r="EU44" s="113">
        <v>0</v>
      </c>
      <c r="EV44" s="113">
        <v>0</v>
      </c>
      <c r="EW44" s="113">
        <v>0</v>
      </c>
      <c r="EX44" s="113">
        <v>0</v>
      </c>
      <c r="EY44" s="113">
        <v>0</v>
      </c>
      <c r="EZ44" s="113">
        <v>0</v>
      </c>
      <c r="FA44" s="113">
        <v>0</v>
      </c>
      <c r="FB44" s="113">
        <v>0</v>
      </c>
      <c r="FC44" s="113">
        <v>0</v>
      </c>
      <c r="FD44" s="113">
        <v>0</v>
      </c>
      <c r="FE44" s="113">
        <v>0</v>
      </c>
      <c r="FF44" s="113">
        <v>0</v>
      </c>
      <c r="FG44" s="113">
        <v>0</v>
      </c>
      <c r="FH44" s="113">
        <v>0</v>
      </c>
      <c r="FI44" s="113">
        <v>0</v>
      </c>
      <c r="FJ44" s="113">
        <v>0</v>
      </c>
      <c r="FK44" s="113">
        <v>0</v>
      </c>
      <c r="FL44" s="113">
        <v>0</v>
      </c>
      <c r="FM44" s="113">
        <v>0</v>
      </c>
      <c r="FN44" s="113">
        <v>0</v>
      </c>
      <c r="FO44" s="113">
        <v>0</v>
      </c>
      <c r="FP44" s="113">
        <v>0</v>
      </c>
      <c r="FQ44" s="113">
        <v>0</v>
      </c>
      <c r="FR44" s="113">
        <v>0</v>
      </c>
      <c r="FS44" s="113">
        <v>0</v>
      </c>
      <c r="FT44" s="113">
        <v>0</v>
      </c>
      <c r="FU44" s="113">
        <v>0</v>
      </c>
      <c r="FV44" s="113">
        <v>0</v>
      </c>
      <c r="FW44" s="113">
        <v>0</v>
      </c>
      <c r="FX44" s="113">
        <v>0</v>
      </c>
      <c r="FY44" s="113">
        <v>0</v>
      </c>
      <c r="FZ44" s="113">
        <v>0</v>
      </c>
      <c r="GA44" s="113">
        <v>0</v>
      </c>
      <c r="GB44" s="113">
        <v>0</v>
      </c>
      <c r="GC44" s="113">
        <v>0</v>
      </c>
      <c r="GD44" s="113">
        <v>0</v>
      </c>
      <c r="GE44" s="113">
        <v>0</v>
      </c>
      <c r="GF44" s="113">
        <v>0</v>
      </c>
      <c r="GG44" s="113">
        <v>0</v>
      </c>
      <c r="GH44" s="113">
        <v>0</v>
      </c>
      <c r="GI44" s="113">
        <v>0</v>
      </c>
      <c r="GJ44" s="113">
        <v>0</v>
      </c>
      <c r="GK44" s="113">
        <v>0</v>
      </c>
      <c r="GL44" s="113">
        <v>0</v>
      </c>
      <c r="GM44" s="113">
        <v>0</v>
      </c>
      <c r="GN44" s="113">
        <v>0</v>
      </c>
      <c r="GO44" s="113">
        <v>0</v>
      </c>
      <c r="GP44" s="113">
        <v>0</v>
      </c>
      <c r="GQ44" s="113">
        <v>0</v>
      </c>
      <c r="GR44" s="113">
        <v>0</v>
      </c>
      <c r="GS44" s="113">
        <v>0</v>
      </c>
      <c r="GT44" s="113">
        <v>0</v>
      </c>
      <c r="GU44" s="113">
        <v>0</v>
      </c>
      <c r="GV44" s="113">
        <v>0</v>
      </c>
      <c r="GW44" s="113">
        <v>0</v>
      </c>
      <c r="GX44" s="113">
        <v>0</v>
      </c>
      <c r="GY44" s="113">
        <v>0</v>
      </c>
      <c r="GZ44" s="113">
        <v>0</v>
      </c>
      <c r="HA44" s="113">
        <v>0</v>
      </c>
      <c r="HB44" s="113">
        <v>0</v>
      </c>
      <c r="HC44" s="113">
        <v>0</v>
      </c>
      <c r="HD44" s="113">
        <v>0</v>
      </c>
      <c r="HE44" s="113">
        <v>0</v>
      </c>
      <c r="HF44" s="113">
        <v>0</v>
      </c>
      <c r="HG44" s="113">
        <v>0</v>
      </c>
      <c r="HH44" s="113">
        <v>0</v>
      </c>
    </row>
    <row r="45" spans="2:216" s="61" customFormat="1" ht="12" x14ac:dyDescent="0.3">
      <c r="B45" s="112" t="s">
        <v>279</v>
      </c>
      <c r="C45" s="113">
        <v>0</v>
      </c>
      <c r="D45" s="113">
        <v>0</v>
      </c>
      <c r="E45" s="113">
        <v>0</v>
      </c>
      <c r="F45" s="113">
        <v>1</v>
      </c>
      <c r="G45" s="113">
        <v>0</v>
      </c>
      <c r="H45" s="113">
        <v>0</v>
      </c>
      <c r="I45" s="113">
        <v>0</v>
      </c>
      <c r="J45" s="113">
        <v>0</v>
      </c>
      <c r="L45" s="112" t="s">
        <v>279</v>
      </c>
      <c r="M45" s="113">
        <v>0</v>
      </c>
      <c r="N45" s="113">
        <v>0</v>
      </c>
      <c r="O45" s="113">
        <v>0</v>
      </c>
      <c r="P45" s="113">
        <v>0</v>
      </c>
      <c r="Q45" s="113">
        <v>0</v>
      </c>
      <c r="R45" s="113">
        <v>0</v>
      </c>
      <c r="S45" s="113">
        <v>0</v>
      </c>
      <c r="T45" s="113">
        <v>0</v>
      </c>
      <c r="U45" s="113">
        <v>0</v>
      </c>
      <c r="V45" s="113">
        <v>0</v>
      </c>
      <c r="W45" s="113">
        <v>0</v>
      </c>
      <c r="X45" s="113">
        <v>0</v>
      </c>
      <c r="Y45" s="113">
        <v>0</v>
      </c>
      <c r="Z45" s="113">
        <v>0</v>
      </c>
      <c r="AA45" s="113">
        <v>0</v>
      </c>
      <c r="AB45" s="113">
        <v>0</v>
      </c>
      <c r="AC45" s="113">
        <v>0</v>
      </c>
      <c r="AD45" s="113">
        <v>0</v>
      </c>
      <c r="AE45" s="113">
        <v>0</v>
      </c>
      <c r="AF45" s="113">
        <v>0</v>
      </c>
      <c r="AG45" s="113">
        <v>0</v>
      </c>
      <c r="AH45" s="113">
        <v>0</v>
      </c>
      <c r="AI45" s="113">
        <v>0</v>
      </c>
      <c r="AJ45" s="113">
        <v>0</v>
      </c>
      <c r="AK45" s="113">
        <v>0</v>
      </c>
      <c r="AL45" s="113">
        <v>0</v>
      </c>
      <c r="AM45" s="113">
        <v>0</v>
      </c>
      <c r="AN45" s="113">
        <v>0</v>
      </c>
      <c r="AO45" s="113">
        <v>0</v>
      </c>
      <c r="AP45" s="113">
        <v>0</v>
      </c>
      <c r="AQ45" s="113">
        <v>0</v>
      </c>
      <c r="AR45" s="113">
        <v>0</v>
      </c>
      <c r="AS45" s="113">
        <v>0</v>
      </c>
      <c r="AT45" s="113">
        <v>0</v>
      </c>
      <c r="AU45" s="113">
        <v>0</v>
      </c>
      <c r="AV45" s="113">
        <v>0</v>
      </c>
      <c r="AW45" s="113">
        <v>0</v>
      </c>
      <c r="AX45" s="113">
        <v>0</v>
      </c>
      <c r="AY45" s="113">
        <v>0</v>
      </c>
      <c r="AZ45" s="113">
        <v>0</v>
      </c>
      <c r="BA45" s="113">
        <v>0</v>
      </c>
      <c r="BB45" s="113">
        <v>0</v>
      </c>
      <c r="BC45" s="113">
        <v>0</v>
      </c>
      <c r="BD45" s="113">
        <v>0</v>
      </c>
      <c r="BE45" s="113">
        <v>0</v>
      </c>
      <c r="BF45" s="113">
        <v>0</v>
      </c>
      <c r="BG45" s="113">
        <v>0</v>
      </c>
      <c r="BH45" s="113">
        <v>0</v>
      </c>
      <c r="BI45" s="113">
        <v>0</v>
      </c>
      <c r="BJ45" s="113">
        <v>0</v>
      </c>
      <c r="BK45" s="113">
        <v>0</v>
      </c>
      <c r="BL45" s="113">
        <v>0</v>
      </c>
      <c r="BM45" s="113">
        <v>0</v>
      </c>
      <c r="BN45" s="113">
        <v>0</v>
      </c>
      <c r="BO45" s="113">
        <v>0</v>
      </c>
      <c r="BP45" s="113">
        <v>0</v>
      </c>
      <c r="BQ45" s="113">
        <v>0</v>
      </c>
      <c r="BR45" s="113">
        <v>0</v>
      </c>
      <c r="BS45" s="113">
        <v>0</v>
      </c>
      <c r="BT45" s="113">
        <v>0</v>
      </c>
      <c r="BU45" s="113">
        <v>0</v>
      </c>
      <c r="BV45" s="113">
        <v>0</v>
      </c>
      <c r="BW45" s="113">
        <v>0</v>
      </c>
      <c r="BX45" s="113">
        <v>0</v>
      </c>
      <c r="BY45" s="113">
        <v>0</v>
      </c>
      <c r="BZ45" s="113">
        <v>0</v>
      </c>
      <c r="CA45" s="113">
        <v>0</v>
      </c>
      <c r="CB45" s="113">
        <v>0</v>
      </c>
      <c r="CC45" s="113">
        <v>0</v>
      </c>
      <c r="CD45" s="113">
        <v>0</v>
      </c>
      <c r="CE45" s="113">
        <v>0</v>
      </c>
      <c r="CF45" s="113">
        <v>0</v>
      </c>
      <c r="CG45" s="113">
        <v>0</v>
      </c>
      <c r="CH45" s="113">
        <v>0</v>
      </c>
      <c r="CI45" s="113">
        <v>0</v>
      </c>
      <c r="CJ45" s="113">
        <v>0</v>
      </c>
      <c r="CK45" s="113">
        <v>0</v>
      </c>
      <c r="CL45" s="113">
        <v>0</v>
      </c>
      <c r="CM45" s="113">
        <v>0</v>
      </c>
      <c r="CN45" s="113">
        <v>0</v>
      </c>
      <c r="CO45" s="113">
        <v>0</v>
      </c>
      <c r="CP45" s="113">
        <v>0</v>
      </c>
      <c r="CQ45" s="113">
        <v>0</v>
      </c>
      <c r="CR45" s="113">
        <v>0</v>
      </c>
      <c r="CS45" s="113">
        <v>0</v>
      </c>
      <c r="CT45" s="113">
        <v>0</v>
      </c>
      <c r="CU45" s="113">
        <v>0</v>
      </c>
      <c r="CV45" s="113">
        <v>0</v>
      </c>
      <c r="CW45" s="113">
        <v>0</v>
      </c>
      <c r="CX45" s="113">
        <v>0</v>
      </c>
      <c r="CY45" s="113">
        <v>0</v>
      </c>
      <c r="CZ45" s="113">
        <v>0</v>
      </c>
      <c r="DA45" s="113">
        <v>0</v>
      </c>
      <c r="DB45" s="113">
        <v>0</v>
      </c>
      <c r="DC45" s="113">
        <v>0</v>
      </c>
      <c r="DD45" s="113">
        <v>0</v>
      </c>
      <c r="DE45" s="113">
        <v>0</v>
      </c>
      <c r="DF45" s="113">
        <v>0</v>
      </c>
      <c r="DG45" s="113">
        <v>0</v>
      </c>
      <c r="DH45" s="113">
        <v>0</v>
      </c>
      <c r="DI45" s="113">
        <v>0</v>
      </c>
      <c r="DK45" s="112" t="s">
        <v>279</v>
      </c>
      <c r="DL45" s="113">
        <v>0</v>
      </c>
      <c r="DM45" s="113">
        <v>0</v>
      </c>
      <c r="DN45" s="113">
        <v>0</v>
      </c>
      <c r="DO45" s="113">
        <v>0</v>
      </c>
      <c r="DP45" s="113">
        <v>0</v>
      </c>
      <c r="DQ45" s="113">
        <v>0</v>
      </c>
      <c r="DR45" s="113">
        <v>0</v>
      </c>
      <c r="DS45" s="113">
        <v>0</v>
      </c>
      <c r="DT45" s="113">
        <v>0</v>
      </c>
      <c r="DU45" s="113">
        <v>0</v>
      </c>
      <c r="DV45" s="113">
        <v>0</v>
      </c>
      <c r="DW45" s="113">
        <v>0</v>
      </c>
      <c r="DX45" s="113">
        <v>0</v>
      </c>
      <c r="DY45" s="113">
        <v>0</v>
      </c>
      <c r="DZ45" s="113">
        <v>0</v>
      </c>
      <c r="EA45" s="113">
        <v>0</v>
      </c>
      <c r="EB45" s="113">
        <v>0</v>
      </c>
      <c r="EC45" s="113">
        <v>0</v>
      </c>
      <c r="ED45" s="113">
        <v>0</v>
      </c>
      <c r="EE45" s="113">
        <v>0</v>
      </c>
      <c r="EF45" s="113">
        <v>0</v>
      </c>
      <c r="EG45" s="113">
        <v>0</v>
      </c>
      <c r="EH45" s="113">
        <v>0</v>
      </c>
      <c r="EI45" s="113">
        <v>0</v>
      </c>
      <c r="EJ45" s="113">
        <v>0</v>
      </c>
      <c r="EK45" s="113">
        <v>0</v>
      </c>
      <c r="EL45" s="113">
        <v>0</v>
      </c>
      <c r="EM45" s="113">
        <v>0</v>
      </c>
      <c r="EN45" s="113">
        <v>0</v>
      </c>
      <c r="EO45" s="113">
        <v>0</v>
      </c>
      <c r="EP45" s="113">
        <v>0</v>
      </c>
      <c r="EQ45" s="113">
        <v>0</v>
      </c>
      <c r="ER45" s="113">
        <v>0</v>
      </c>
      <c r="ES45" s="113">
        <v>0</v>
      </c>
      <c r="ET45" s="113">
        <v>0</v>
      </c>
      <c r="EU45" s="113">
        <v>0</v>
      </c>
      <c r="EV45" s="113">
        <v>0</v>
      </c>
      <c r="EW45" s="113">
        <v>0</v>
      </c>
      <c r="EX45" s="113">
        <v>0</v>
      </c>
      <c r="EY45" s="113">
        <v>0</v>
      </c>
      <c r="EZ45" s="113">
        <v>0</v>
      </c>
      <c r="FA45" s="113">
        <v>0</v>
      </c>
      <c r="FB45" s="113">
        <v>0</v>
      </c>
      <c r="FC45" s="113">
        <v>0</v>
      </c>
      <c r="FD45" s="113">
        <v>0</v>
      </c>
      <c r="FE45" s="113">
        <v>0</v>
      </c>
      <c r="FF45" s="113">
        <v>0</v>
      </c>
      <c r="FG45" s="113">
        <v>0</v>
      </c>
      <c r="FH45" s="113">
        <v>0</v>
      </c>
      <c r="FI45" s="113">
        <v>0</v>
      </c>
      <c r="FJ45" s="113">
        <v>0</v>
      </c>
      <c r="FK45" s="113">
        <v>0</v>
      </c>
      <c r="FL45" s="113">
        <v>0</v>
      </c>
      <c r="FM45" s="113">
        <v>0</v>
      </c>
      <c r="FN45" s="113">
        <v>0</v>
      </c>
      <c r="FO45" s="113">
        <v>0</v>
      </c>
      <c r="FP45" s="113">
        <v>0</v>
      </c>
      <c r="FQ45" s="113">
        <v>0</v>
      </c>
      <c r="FR45" s="113">
        <v>0</v>
      </c>
      <c r="FS45" s="113">
        <v>0</v>
      </c>
      <c r="FT45" s="113">
        <v>0</v>
      </c>
      <c r="FU45" s="113">
        <v>0</v>
      </c>
      <c r="FV45" s="113">
        <v>0</v>
      </c>
      <c r="FW45" s="113">
        <v>0</v>
      </c>
      <c r="FX45" s="113">
        <v>0</v>
      </c>
      <c r="FY45" s="113">
        <v>0</v>
      </c>
      <c r="FZ45" s="113">
        <v>0</v>
      </c>
      <c r="GA45" s="113">
        <v>0</v>
      </c>
      <c r="GB45" s="113">
        <v>0</v>
      </c>
      <c r="GC45" s="113">
        <v>0</v>
      </c>
      <c r="GD45" s="113">
        <v>0</v>
      </c>
      <c r="GE45" s="113">
        <v>0</v>
      </c>
      <c r="GF45" s="113">
        <v>0</v>
      </c>
      <c r="GG45" s="113">
        <v>0</v>
      </c>
      <c r="GH45" s="113">
        <v>0</v>
      </c>
      <c r="GI45" s="113">
        <v>0</v>
      </c>
      <c r="GJ45" s="113">
        <v>0</v>
      </c>
      <c r="GK45" s="113">
        <v>0</v>
      </c>
      <c r="GL45" s="113">
        <v>0</v>
      </c>
      <c r="GM45" s="113">
        <v>0</v>
      </c>
      <c r="GN45" s="113">
        <v>0</v>
      </c>
      <c r="GO45" s="113">
        <v>0</v>
      </c>
      <c r="GP45" s="113">
        <v>0</v>
      </c>
      <c r="GQ45" s="113">
        <v>0</v>
      </c>
      <c r="GR45" s="113">
        <v>0</v>
      </c>
      <c r="GS45" s="113">
        <v>0</v>
      </c>
      <c r="GT45" s="113">
        <v>0</v>
      </c>
      <c r="GU45" s="113">
        <v>0</v>
      </c>
      <c r="GV45" s="113">
        <v>0</v>
      </c>
      <c r="GW45" s="113">
        <v>0</v>
      </c>
      <c r="GX45" s="113">
        <v>0</v>
      </c>
      <c r="GY45" s="113">
        <v>0</v>
      </c>
      <c r="GZ45" s="113">
        <v>0</v>
      </c>
      <c r="HA45" s="113">
        <v>0</v>
      </c>
      <c r="HB45" s="113">
        <v>0</v>
      </c>
      <c r="HC45" s="113">
        <v>0</v>
      </c>
      <c r="HD45" s="113">
        <v>0</v>
      </c>
      <c r="HE45" s="113">
        <v>0</v>
      </c>
      <c r="HF45" s="113">
        <v>0</v>
      </c>
      <c r="HG45" s="113">
        <v>0</v>
      </c>
      <c r="HH45" s="113">
        <v>0</v>
      </c>
    </row>
    <row r="46" spans="2:216" s="61" customFormat="1" ht="12" x14ac:dyDescent="0.3">
      <c r="B46" s="112" t="s">
        <v>280</v>
      </c>
      <c r="C46" s="113">
        <v>0</v>
      </c>
      <c r="D46" s="113">
        <v>0</v>
      </c>
      <c r="E46" s="113">
        <v>0</v>
      </c>
      <c r="F46" s="113">
        <v>0</v>
      </c>
      <c r="G46" s="113">
        <v>1</v>
      </c>
      <c r="H46" s="113">
        <v>0</v>
      </c>
      <c r="I46" s="113">
        <v>0</v>
      </c>
      <c r="J46" s="113">
        <v>0</v>
      </c>
      <c r="L46" s="112" t="s">
        <v>280</v>
      </c>
      <c r="M46" s="113">
        <v>0</v>
      </c>
      <c r="N46" s="113">
        <v>0</v>
      </c>
      <c r="O46" s="113">
        <v>0</v>
      </c>
      <c r="P46" s="113">
        <v>0</v>
      </c>
      <c r="Q46" s="113">
        <v>0</v>
      </c>
      <c r="R46" s="113">
        <v>0</v>
      </c>
      <c r="S46" s="113">
        <v>0</v>
      </c>
      <c r="T46" s="113">
        <v>0</v>
      </c>
      <c r="U46" s="113">
        <v>0</v>
      </c>
      <c r="V46" s="113">
        <v>0</v>
      </c>
      <c r="W46" s="113">
        <v>0</v>
      </c>
      <c r="X46" s="113">
        <v>0</v>
      </c>
      <c r="Y46" s="113">
        <v>0</v>
      </c>
      <c r="Z46" s="113">
        <v>0</v>
      </c>
      <c r="AA46" s="113">
        <v>0</v>
      </c>
      <c r="AB46" s="113">
        <v>0</v>
      </c>
      <c r="AC46" s="113">
        <v>0</v>
      </c>
      <c r="AD46" s="113">
        <v>0</v>
      </c>
      <c r="AE46" s="113">
        <v>0</v>
      </c>
      <c r="AF46" s="113">
        <v>0</v>
      </c>
      <c r="AG46" s="113">
        <v>0</v>
      </c>
      <c r="AH46" s="113">
        <v>0</v>
      </c>
      <c r="AI46" s="113">
        <v>0</v>
      </c>
      <c r="AJ46" s="113">
        <v>0</v>
      </c>
      <c r="AK46" s="113">
        <v>0</v>
      </c>
      <c r="AL46" s="113">
        <v>0</v>
      </c>
      <c r="AM46" s="113">
        <v>0</v>
      </c>
      <c r="AN46" s="113">
        <v>0</v>
      </c>
      <c r="AO46" s="113">
        <v>0</v>
      </c>
      <c r="AP46" s="113">
        <v>0</v>
      </c>
      <c r="AQ46" s="113">
        <v>0</v>
      </c>
      <c r="AR46" s="113">
        <v>0</v>
      </c>
      <c r="AS46" s="113">
        <v>0</v>
      </c>
      <c r="AT46" s="113">
        <v>0</v>
      </c>
      <c r="AU46" s="113">
        <v>0</v>
      </c>
      <c r="AV46" s="113">
        <v>0</v>
      </c>
      <c r="AW46" s="113">
        <v>0</v>
      </c>
      <c r="AX46" s="113">
        <v>0</v>
      </c>
      <c r="AY46" s="113">
        <v>0</v>
      </c>
      <c r="AZ46" s="113">
        <v>0</v>
      </c>
      <c r="BA46" s="113">
        <v>0</v>
      </c>
      <c r="BB46" s="113">
        <v>0</v>
      </c>
      <c r="BC46" s="113">
        <v>0</v>
      </c>
      <c r="BD46" s="113">
        <v>0</v>
      </c>
      <c r="BE46" s="113">
        <v>0</v>
      </c>
      <c r="BF46" s="113">
        <v>0</v>
      </c>
      <c r="BG46" s="113">
        <v>0</v>
      </c>
      <c r="BH46" s="113">
        <v>0</v>
      </c>
      <c r="BI46" s="113">
        <v>0</v>
      </c>
      <c r="BJ46" s="113">
        <v>0</v>
      </c>
      <c r="BK46" s="113">
        <v>0</v>
      </c>
      <c r="BL46" s="113">
        <v>0</v>
      </c>
      <c r="BM46" s="113">
        <v>0</v>
      </c>
      <c r="BN46" s="113">
        <v>0</v>
      </c>
      <c r="BO46" s="113">
        <v>0</v>
      </c>
      <c r="BP46" s="113">
        <v>0</v>
      </c>
      <c r="BQ46" s="113">
        <v>0</v>
      </c>
      <c r="BR46" s="113">
        <v>0</v>
      </c>
      <c r="BS46" s="113">
        <v>0</v>
      </c>
      <c r="BT46" s="113">
        <v>0</v>
      </c>
      <c r="BU46" s="113">
        <v>0</v>
      </c>
      <c r="BV46" s="113">
        <v>0</v>
      </c>
      <c r="BW46" s="113">
        <v>0</v>
      </c>
      <c r="BX46" s="113">
        <v>0</v>
      </c>
      <c r="BY46" s="113">
        <v>0</v>
      </c>
      <c r="BZ46" s="113">
        <v>0</v>
      </c>
      <c r="CA46" s="113">
        <v>0</v>
      </c>
      <c r="CB46" s="113">
        <v>0</v>
      </c>
      <c r="CC46" s="113">
        <v>0</v>
      </c>
      <c r="CD46" s="113">
        <v>0</v>
      </c>
      <c r="CE46" s="113">
        <v>0</v>
      </c>
      <c r="CF46" s="113">
        <v>0</v>
      </c>
      <c r="CG46" s="113">
        <v>0</v>
      </c>
      <c r="CH46" s="113">
        <v>0</v>
      </c>
      <c r="CI46" s="113">
        <v>0</v>
      </c>
      <c r="CJ46" s="113">
        <v>0</v>
      </c>
      <c r="CK46" s="113">
        <v>0</v>
      </c>
      <c r="CL46" s="113">
        <v>0</v>
      </c>
      <c r="CM46" s="113">
        <v>0</v>
      </c>
      <c r="CN46" s="113">
        <v>0</v>
      </c>
      <c r="CO46" s="113">
        <v>0</v>
      </c>
      <c r="CP46" s="113">
        <v>0</v>
      </c>
      <c r="CQ46" s="113">
        <v>0</v>
      </c>
      <c r="CR46" s="113">
        <v>0</v>
      </c>
      <c r="CS46" s="113">
        <v>0</v>
      </c>
      <c r="CT46" s="113">
        <v>0</v>
      </c>
      <c r="CU46" s="113">
        <v>0</v>
      </c>
      <c r="CV46" s="113">
        <v>0</v>
      </c>
      <c r="CW46" s="113">
        <v>0</v>
      </c>
      <c r="CX46" s="113">
        <v>0</v>
      </c>
      <c r="CY46" s="113">
        <v>0</v>
      </c>
      <c r="CZ46" s="113">
        <v>0</v>
      </c>
      <c r="DA46" s="113">
        <v>0</v>
      </c>
      <c r="DB46" s="113">
        <v>0</v>
      </c>
      <c r="DC46" s="113">
        <v>0</v>
      </c>
      <c r="DD46" s="113">
        <v>0</v>
      </c>
      <c r="DE46" s="113">
        <v>0</v>
      </c>
      <c r="DF46" s="113">
        <v>0</v>
      </c>
      <c r="DG46" s="113">
        <v>0</v>
      </c>
      <c r="DH46" s="113">
        <v>0</v>
      </c>
      <c r="DI46" s="113">
        <v>0</v>
      </c>
      <c r="DK46" s="112" t="s">
        <v>280</v>
      </c>
      <c r="DL46" s="113">
        <v>0</v>
      </c>
      <c r="DM46" s="113">
        <v>0</v>
      </c>
      <c r="DN46" s="113">
        <v>0</v>
      </c>
      <c r="DO46" s="113">
        <v>0</v>
      </c>
      <c r="DP46" s="113">
        <v>0</v>
      </c>
      <c r="DQ46" s="113">
        <v>0</v>
      </c>
      <c r="DR46" s="113">
        <v>0</v>
      </c>
      <c r="DS46" s="113">
        <v>0</v>
      </c>
      <c r="DT46" s="113">
        <v>0</v>
      </c>
      <c r="DU46" s="113">
        <v>0</v>
      </c>
      <c r="DV46" s="113">
        <v>0</v>
      </c>
      <c r="DW46" s="113">
        <v>0</v>
      </c>
      <c r="DX46" s="113">
        <v>0</v>
      </c>
      <c r="DY46" s="113">
        <v>0</v>
      </c>
      <c r="DZ46" s="113">
        <v>0</v>
      </c>
      <c r="EA46" s="113">
        <v>0</v>
      </c>
      <c r="EB46" s="113">
        <v>0</v>
      </c>
      <c r="EC46" s="113">
        <v>0</v>
      </c>
      <c r="ED46" s="113">
        <v>0</v>
      </c>
      <c r="EE46" s="113">
        <v>0</v>
      </c>
      <c r="EF46" s="113">
        <v>0</v>
      </c>
      <c r="EG46" s="113">
        <v>0</v>
      </c>
      <c r="EH46" s="113">
        <v>0</v>
      </c>
      <c r="EI46" s="113">
        <v>0</v>
      </c>
      <c r="EJ46" s="113">
        <v>0</v>
      </c>
      <c r="EK46" s="113">
        <v>0</v>
      </c>
      <c r="EL46" s="113">
        <v>0</v>
      </c>
      <c r="EM46" s="113">
        <v>0</v>
      </c>
      <c r="EN46" s="113">
        <v>0</v>
      </c>
      <c r="EO46" s="113">
        <v>0</v>
      </c>
      <c r="EP46" s="113">
        <v>0</v>
      </c>
      <c r="EQ46" s="113">
        <v>0</v>
      </c>
      <c r="ER46" s="113">
        <v>0</v>
      </c>
      <c r="ES46" s="113">
        <v>0</v>
      </c>
      <c r="ET46" s="113">
        <v>0</v>
      </c>
      <c r="EU46" s="113">
        <v>0</v>
      </c>
      <c r="EV46" s="113">
        <v>0</v>
      </c>
      <c r="EW46" s="113">
        <v>0</v>
      </c>
      <c r="EX46" s="113">
        <v>0</v>
      </c>
      <c r="EY46" s="113">
        <v>0</v>
      </c>
      <c r="EZ46" s="113">
        <v>0</v>
      </c>
      <c r="FA46" s="113">
        <v>0</v>
      </c>
      <c r="FB46" s="113">
        <v>0</v>
      </c>
      <c r="FC46" s="113">
        <v>0</v>
      </c>
      <c r="FD46" s="113">
        <v>0</v>
      </c>
      <c r="FE46" s="113">
        <v>0</v>
      </c>
      <c r="FF46" s="113">
        <v>0</v>
      </c>
      <c r="FG46" s="113">
        <v>0</v>
      </c>
      <c r="FH46" s="113">
        <v>0</v>
      </c>
      <c r="FI46" s="113">
        <v>0</v>
      </c>
      <c r="FJ46" s="113">
        <v>0</v>
      </c>
      <c r="FK46" s="113">
        <v>0</v>
      </c>
      <c r="FL46" s="113">
        <v>0</v>
      </c>
      <c r="FM46" s="113">
        <v>0</v>
      </c>
      <c r="FN46" s="113">
        <v>0</v>
      </c>
      <c r="FO46" s="113">
        <v>0</v>
      </c>
      <c r="FP46" s="113">
        <v>0</v>
      </c>
      <c r="FQ46" s="113">
        <v>0</v>
      </c>
      <c r="FR46" s="113">
        <v>0</v>
      </c>
      <c r="FS46" s="113">
        <v>0</v>
      </c>
      <c r="FT46" s="113">
        <v>0</v>
      </c>
      <c r="FU46" s="113">
        <v>0</v>
      </c>
      <c r="FV46" s="113">
        <v>0</v>
      </c>
      <c r="FW46" s="113">
        <v>0</v>
      </c>
      <c r="FX46" s="113">
        <v>0</v>
      </c>
      <c r="FY46" s="113">
        <v>0</v>
      </c>
      <c r="FZ46" s="113">
        <v>0</v>
      </c>
      <c r="GA46" s="113">
        <v>0</v>
      </c>
      <c r="GB46" s="113">
        <v>0</v>
      </c>
      <c r="GC46" s="113">
        <v>0</v>
      </c>
      <c r="GD46" s="113">
        <v>0</v>
      </c>
      <c r="GE46" s="113">
        <v>0</v>
      </c>
      <c r="GF46" s="113">
        <v>0</v>
      </c>
      <c r="GG46" s="113">
        <v>0</v>
      </c>
      <c r="GH46" s="113">
        <v>0</v>
      </c>
      <c r="GI46" s="113">
        <v>0</v>
      </c>
      <c r="GJ46" s="113">
        <v>0</v>
      </c>
      <c r="GK46" s="113">
        <v>0</v>
      </c>
      <c r="GL46" s="113">
        <v>0</v>
      </c>
      <c r="GM46" s="113">
        <v>0</v>
      </c>
      <c r="GN46" s="113">
        <v>0</v>
      </c>
      <c r="GO46" s="113">
        <v>0</v>
      </c>
      <c r="GP46" s="113">
        <v>0</v>
      </c>
      <c r="GQ46" s="113">
        <v>0</v>
      </c>
      <c r="GR46" s="113">
        <v>0</v>
      </c>
      <c r="GS46" s="113">
        <v>0</v>
      </c>
      <c r="GT46" s="113">
        <v>0</v>
      </c>
      <c r="GU46" s="113">
        <v>0</v>
      </c>
      <c r="GV46" s="113">
        <v>0</v>
      </c>
      <c r="GW46" s="113">
        <v>0</v>
      </c>
      <c r="GX46" s="113">
        <v>0</v>
      </c>
      <c r="GY46" s="113">
        <v>0</v>
      </c>
      <c r="GZ46" s="113">
        <v>0</v>
      </c>
      <c r="HA46" s="113">
        <v>0</v>
      </c>
      <c r="HB46" s="113">
        <v>0</v>
      </c>
      <c r="HC46" s="113">
        <v>0</v>
      </c>
      <c r="HD46" s="113">
        <v>0</v>
      </c>
      <c r="HE46" s="113">
        <v>0</v>
      </c>
      <c r="HF46" s="113">
        <v>0</v>
      </c>
      <c r="HG46" s="113">
        <v>0</v>
      </c>
      <c r="HH46" s="113">
        <v>0</v>
      </c>
    </row>
    <row r="47" spans="2:216" s="61" customFormat="1" ht="12" x14ac:dyDescent="0.3">
      <c r="B47" s="112" t="s">
        <v>281</v>
      </c>
      <c r="C47" s="113">
        <v>0</v>
      </c>
      <c r="D47" s="113">
        <v>0</v>
      </c>
      <c r="E47" s="113">
        <v>0</v>
      </c>
      <c r="F47" s="113">
        <v>0</v>
      </c>
      <c r="G47" s="113">
        <v>0</v>
      </c>
      <c r="H47" s="113">
        <v>1</v>
      </c>
      <c r="I47" s="113">
        <v>0</v>
      </c>
      <c r="J47" s="113">
        <v>0</v>
      </c>
      <c r="L47" s="112" t="s">
        <v>281</v>
      </c>
      <c r="M47" s="113">
        <v>0</v>
      </c>
      <c r="N47" s="113">
        <v>0</v>
      </c>
      <c r="O47" s="113">
        <v>0</v>
      </c>
      <c r="P47" s="113">
        <v>0</v>
      </c>
      <c r="Q47" s="113">
        <v>0</v>
      </c>
      <c r="R47" s="113">
        <v>0</v>
      </c>
      <c r="S47" s="113">
        <v>0</v>
      </c>
      <c r="T47" s="113">
        <v>0</v>
      </c>
      <c r="U47" s="113">
        <v>0</v>
      </c>
      <c r="V47" s="113">
        <v>0</v>
      </c>
      <c r="W47" s="113">
        <v>0</v>
      </c>
      <c r="X47" s="113">
        <v>0</v>
      </c>
      <c r="Y47" s="113">
        <v>0</v>
      </c>
      <c r="Z47" s="113">
        <v>0</v>
      </c>
      <c r="AA47" s="113">
        <v>0</v>
      </c>
      <c r="AB47" s="113">
        <v>0</v>
      </c>
      <c r="AC47" s="113">
        <v>0</v>
      </c>
      <c r="AD47" s="113">
        <v>0</v>
      </c>
      <c r="AE47" s="113">
        <v>0</v>
      </c>
      <c r="AF47" s="113">
        <v>0</v>
      </c>
      <c r="AG47" s="113">
        <v>0</v>
      </c>
      <c r="AH47" s="113">
        <v>0</v>
      </c>
      <c r="AI47" s="113">
        <v>0</v>
      </c>
      <c r="AJ47" s="113">
        <v>0</v>
      </c>
      <c r="AK47" s="113">
        <v>0</v>
      </c>
      <c r="AL47" s="113">
        <v>0</v>
      </c>
      <c r="AM47" s="113">
        <v>0</v>
      </c>
      <c r="AN47" s="113">
        <v>0</v>
      </c>
      <c r="AO47" s="113">
        <v>0</v>
      </c>
      <c r="AP47" s="113">
        <v>0</v>
      </c>
      <c r="AQ47" s="113">
        <v>0</v>
      </c>
      <c r="AR47" s="113">
        <v>0</v>
      </c>
      <c r="AS47" s="113">
        <v>0</v>
      </c>
      <c r="AT47" s="113">
        <v>0</v>
      </c>
      <c r="AU47" s="113">
        <v>0</v>
      </c>
      <c r="AV47" s="113">
        <v>0</v>
      </c>
      <c r="AW47" s="113">
        <v>0</v>
      </c>
      <c r="AX47" s="113">
        <v>0</v>
      </c>
      <c r="AY47" s="113">
        <v>0</v>
      </c>
      <c r="AZ47" s="113">
        <v>0</v>
      </c>
      <c r="BA47" s="113">
        <v>0</v>
      </c>
      <c r="BB47" s="113">
        <v>0</v>
      </c>
      <c r="BC47" s="113">
        <v>0</v>
      </c>
      <c r="BD47" s="113">
        <v>0</v>
      </c>
      <c r="BE47" s="113">
        <v>0</v>
      </c>
      <c r="BF47" s="113">
        <v>0</v>
      </c>
      <c r="BG47" s="113">
        <v>0</v>
      </c>
      <c r="BH47" s="113">
        <v>0</v>
      </c>
      <c r="BI47" s="113">
        <v>0</v>
      </c>
      <c r="BJ47" s="113">
        <v>0</v>
      </c>
      <c r="BK47" s="113">
        <v>0</v>
      </c>
      <c r="BL47" s="113">
        <v>0</v>
      </c>
      <c r="BM47" s="113">
        <v>0</v>
      </c>
      <c r="BN47" s="113">
        <v>0</v>
      </c>
      <c r="BO47" s="113">
        <v>0</v>
      </c>
      <c r="BP47" s="113">
        <v>0</v>
      </c>
      <c r="BQ47" s="113">
        <v>0</v>
      </c>
      <c r="BR47" s="113">
        <v>0</v>
      </c>
      <c r="BS47" s="113">
        <v>0</v>
      </c>
      <c r="BT47" s="113">
        <v>0</v>
      </c>
      <c r="BU47" s="113">
        <v>0</v>
      </c>
      <c r="BV47" s="113">
        <v>0</v>
      </c>
      <c r="BW47" s="113">
        <v>0</v>
      </c>
      <c r="BX47" s="113">
        <v>0</v>
      </c>
      <c r="BY47" s="113">
        <v>0</v>
      </c>
      <c r="BZ47" s="113">
        <v>0</v>
      </c>
      <c r="CA47" s="113">
        <v>0</v>
      </c>
      <c r="CB47" s="113">
        <v>0</v>
      </c>
      <c r="CC47" s="113">
        <v>0</v>
      </c>
      <c r="CD47" s="113">
        <v>0</v>
      </c>
      <c r="CE47" s="113">
        <v>0</v>
      </c>
      <c r="CF47" s="113">
        <v>0</v>
      </c>
      <c r="CG47" s="113">
        <v>0</v>
      </c>
      <c r="CH47" s="113">
        <v>0</v>
      </c>
      <c r="CI47" s="113">
        <v>0</v>
      </c>
      <c r="CJ47" s="113">
        <v>0</v>
      </c>
      <c r="CK47" s="113">
        <v>0</v>
      </c>
      <c r="CL47" s="113">
        <v>0</v>
      </c>
      <c r="CM47" s="113">
        <v>0</v>
      </c>
      <c r="CN47" s="113">
        <v>0</v>
      </c>
      <c r="CO47" s="113">
        <v>0</v>
      </c>
      <c r="CP47" s="113">
        <v>0</v>
      </c>
      <c r="CQ47" s="113">
        <v>0</v>
      </c>
      <c r="CR47" s="113">
        <v>0</v>
      </c>
      <c r="CS47" s="113">
        <v>0</v>
      </c>
      <c r="CT47" s="113">
        <v>0</v>
      </c>
      <c r="CU47" s="113">
        <v>0</v>
      </c>
      <c r="CV47" s="113">
        <v>0</v>
      </c>
      <c r="CW47" s="113">
        <v>0</v>
      </c>
      <c r="CX47" s="113">
        <v>0</v>
      </c>
      <c r="CY47" s="113">
        <v>0</v>
      </c>
      <c r="CZ47" s="113">
        <v>0</v>
      </c>
      <c r="DA47" s="113">
        <v>0</v>
      </c>
      <c r="DB47" s="113">
        <v>0</v>
      </c>
      <c r="DC47" s="113">
        <v>0</v>
      </c>
      <c r="DD47" s="113">
        <v>0</v>
      </c>
      <c r="DE47" s="113">
        <v>0</v>
      </c>
      <c r="DF47" s="113">
        <v>0</v>
      </c>
      <c r="DG47" s="113">
        <v>0</v>
      </c>
      <c r="DH47" s="113">
        <v>0</v>
      </c>
      <c r="DI47" s="113">
        <v>0</v>
      </c>
      <c r="DK47" s="112" t="s">
        <v>281</v>
      </c>
      <c r="DL47" s="113">
        <v>0</v>
      </c>
      <c r="DM47" s="113">
        <v>0</v>
      </c>
      <c r="DN47" s="113">
        <v>0</v>
      </c>
      <c r="DO47" s="113">
        <v>0</v>
      </c>
      <c r="DP47" s="113">
        <v>0</v>
      </c>
      <c r="DQ47" s="113">
        <v>0</v>
      </c>
      <c r="DR47" s="113">
        <v>0</v>
      </c>
      <c r="DS47" s="113">
        <v>0</v>
      </c>
      <c r="DT47" s="113">
        <v>0</v>
      </c>
      <c r="DU47" s="113">
        <v>0</v>
      </c>
      <c r="DV47" s="113">
        <v>0</v>
      </c>
      <c r="DW47" s="113">
        <v>0</v>
      </c>
      <c r="DX47" s="113">
        <v>0</v>
      </c>
      <c r="DY47" s="113">
        <v>0</v>
      </c>
      <c r="DZ47" s="113">
        <v>0</v>
      </c>
      <c r="EA47" s="113">
        <v>0</v>
      </c>
      <c r="EB47" s="113">
        <v>0</v>
      </c>
      <c r="EC47" s="113">
        <v>0</v>
      </c>
      <c r="ED47" s="113">
        <v>0</v>
      </c>
      <c r="EE47" s="113">
        <v>0</v>
      </c>
      <c r="EF47" s="113">
        <v>0</v>
      </c>
      <c r="EG47" s="113">
        <v>0</v>
      </c>
      <c r="EH47" s="113">
        <v>0</v>
      </c>
      <c r="EI47" s="113">
        <v>0</v>
      </c>
      <c r="EJ47" s="113">
        <v>0</v>
      </c>
      <c r="EK47" s="113">
        <v>0</v>
      </c>
      <c r="EL47" s="113">
        <v>0</v>
      </c>
      <c r="EM47" s="113">
        <v>0</v>
      </c>
      <c r="EN47" s="113">
        <v>0</v>
      </c>
      <c r="EO47" s="113">
        <v>0</v>
      </c>
      <c r="EP47" s="113">
        <v>0</v>
      </c>
      <c r="EQ47" s="113">
        <v>0</v>
      </c>
      <c r="ER47" s="113">
        <v>0</v>
      </c>
      <c r="ES47" s="113">
        <v>0</v>
      </c>
      <c r="ET47" s="113">
        <v>0</v>
      </c>
      <c r="EU47" s="113">
        <v>0</v>
      </c>
      <c r="EV47" s="113">
        <v>0</v>
      </c>
      <c r="EW47" s="113">
        <v>0</v>
      </c>
      <c r="EX47" s="113">
        <v>0</v>
      </c>
      <c r="EY47" s="113">
        <v>0</v>
      </c>
      <c r="EZ47" s="113">
        <v>0</v>
      </c>
      <c r="FA47" s="113">
        <v>0</v>
      </c>
      <c r="FB47" s="113">
        <v>0</v>
      </c>
      <c r="FC47" s="113">
        <v>0</v>
      </c>
      <c r="FD47" s="113">
        <v>0</v>
      </c>
      <c r="FE47" s="113">
        <v>0</v>
      </c>
      <c r="FF47" s="113">
        <v>0</v>
      </c>
      <c r="FG47" s="113">
        <v>0</v>
      </c>
      <c r="FH47" s="113">
        <v>0</v>
      </c>
      <c r="FI47" s="113">
        <v>0</v>
      </c>
      <c r="FJ47" s="113">
        <v>0</v>
      </c>
      <c r="FK47" s="113">
        <v>0</v>
      </c>
      <c r="FL47" s="113">
        <v>0</v>
      </c>
      <c r="FM47" s="113">
        <v>0</v>
      </c>
      <c r="FN47" s="113">
        <v>0</v>
      </c>
      <c r="FO47" s="113">
        <v>0</v>
      </c>
      <c r="FP47" s="113">
        <v>0</v>
      </c>
      <c r="FQ47" s="113">
        <v>0</v>
      </c>
      <c r="FR47" s="113">
        <v>0</v>
      </c>
      <c r="FS47" s="113">
        <v>0</v>
      </c>
      <c r="FT47" s="113">
        <v>0</v>
      </c>
      <c r="FU47" s="113">
        <v>0</v>
      </c>
      <c r="FV47" s="113">
        <v>0</v>
      </c>
      <c r="FW47" s="113">
        <v>0</v>
      </c>
      <c r="FX47" s="113">
        <v>0</v>
      </c>
      <c r="FY47" s="113">
        <v>0</v>
      </c>
      <c r="FZ47" s="113">
        <v>0</v>
      </c>
      <c r="GA47" s="113">
        <v>0</v>
      </c>
      <c r="GB47" s="113">
        <v>0</v>
      </c>
      <c r="GC47" s="113">
        <v>0</v>
      </c>
      <c r="GD47" s="113">
        <v>0</v>
      </c>
      <c r="GE47" s="113">
        <v>0</v>
      </c>
      <c r="GF47" s="113">
        <v>0</v>
      </c>
      <c r="GG47" s="113">
        <v>0</v>
      </c>
      <c r="GH47" s="113">
        <v>0</v>
      </c>
      <c r="GI47" s="113">
        <v>0</v>
      </c>
      <c r="GJ47" s="113">
        <v>0</v>
      </c>
      <c r="GK47" s="113">
        <v>0</v>
      </c>
      <c r="GL47" s="113">
        <v>0</v>
      </c>
      <c r="GM47" s="113">
        <v>0</v>
      </c>
      <c r="GN47" s="113">
        <v>0</v>
      </c>
      <c r="GO47" s="113">
        <v>0</v>
      </c>
      <c r="GP47" s="113">
        <v>0</v>
      </c>
      <c r="GQ47" s="113">
        <v>0</v>
      </c>
      <c r="GR47" s="113">
        <v>0</v>
      </c>
      <c r="GS47" s="113">
        <v>0</v>
      </c>
      <c r="GT47" s="113">
        <v>0</v>
      </c>
      <c r="GU47" s="113">
        <v>0</v>
      </c>
      <c r="GV47" s="113">
        <v>0</v>
      </c>
      <c r="GW47" s="113">
        <v>0</v>
      </c>
      <c r="GX47" s="113">
        <v>0</v>
      </c>
      <c r="GY47" s="113">
        <v>0</v>
      </c>
      <c r="GZ47" s="113">
        <v>0</v>
      </c>
      <c r="HA47" s="113">
        <v>0</v>
      </c>
      <c r="HB47" s="113">
        <v>0</v>
      </c>
      <c r="HC47" s="113">
        <v>0</v>
      </c>
      <c r="HD47" s="113">
        <v>0</v>
      </c>
      <c r="HE47" s="113">
        <v>0</v>
      </c>
      <c r="HF47" s="113">
        <v>0</v>
      </c>
      <c r="HG47" s="113">
        <v>0</v>
      </c>
      <c r="HH47" s="113">
        <v>0</v>
      </c>
    </row>
    <row r="48" spans="2:216" s="61" customFormat="1" ht="12" x14ac:dyDescent="0.3">
      <c r="B48" s="112" t="s">
        <v>282</v>
      </c>
      <c r="C48" s="113">
        <v>0</v>
      </c>
      <c r="D48" s="113">
        <v>0</v>
      </c>
      <c r="E48" s="113">
        <v>0</v>
      </c>
      <c r="F48" s="113">
        <v>0</v>
      </c>
      <c r="G48" s="113">
        <v>0</v>
      </c>
      <c r="H48" s="113">
        <v>0</v>
      </c>
      <c r="I48" s="113">
        <v>1</v>
      </c>
      <c r="J48" s="114">
        <v>0</v>
      </c>
      <c r="L48" s="112" t="s">
        <v>282</v>
      </c>
      <c r="M48" s="113">
        <v>0</v>
      </c>
      <c r="N48" s="113">
        <v>0</v>
      </c>
      <c r="O48" s="113">
        <v>0</v>
      </c>
      <c r="P48" s="113">
        <v>0</v>
      </c>
      <c r="Q48" s="113">
        <v>0</v>
      </c>
      <c r="R48" s="113">
        <v>0</v>
      </c>
      <c r="S48" s="113">
        <v>0</v>
      </c>
      <c r="T48" s="113">
        <v>0</v>
      </c>
      <c r="U48" s="113">
        <v>0</v>
      </c>
      <c r="V48" s="113">
        <v>0</v>
      </c>
      <c r="W48" s="113">
        <v>0</v>
      </c>
      <c r="X48" s="113">
        <v>0</v>
      </c>
      <c r="Y48" s="113">
        <v>0</v>
      </c>
      <c r="Z48" s="113">
        <v>0</v>
      </c>
      <c r="AA48" s="113">
        <v>0</v>
      </c>
      <c r="AB48" s="113">
        <v>0</v>
      </c>
      <c r="AC48" s="113">
        <v>0</v>
      </c>
      <c r="AD48" s="113">
        <v>0</v>
      </c>
      <c r="AE48" s="113">
        <v>0</v>
      </c>
      <c r="AF48" s="113">
        <v>0</v>
      </c>
      <c r="AG48" s="113">
        <v>0</v>
      </c>
      <c r="AH48" s="113">
        <v>0</v>
      </c>
      <c r="AI48" s="113">
        <v>0</v>
      </c>
      <c r="AJ48" s="113">
        <v>0</v>
      </c>
      <c r="AK48" s="113">
        <v>0</v>
      </c>
      <c r="AL48" s="113">
        <v>0</v>
      </c>
      <c r="AM48" s="113">
        <v>0</v>
      </c>
      <c r="AN48" s="113">
        <v>0</v>
      </c>
      <c r="AO48" s="113">
        <v>0</v>
      </c>
      <c r="AP48" s="113">
        <v>0</v>
      </c>
      <c r="AQ48" s="113">
        <v>0</v>
      </c>
      <c r="AR48" s="113">
        <v>0</v>
      </c>
      <c r="AS48" s="113">
        <v>0</v>
      </c>
      <c r="AT48" s="113">
        <v>0</v>
      </c>
      <c r="AU48" s="113">
        <v>0</v>
      </c>
      <c r="AV48" s="113">
        <v>0</v>
      </c>
      <c r="AW48" s="113">
        <v>0</v>
      </c>
      <c r="AX48" s="113">
        <v>0</v>
      </c>
      <c r="AY48" s="113">
        <v>0</v>
      </c>
      <c r="AZ48" s="113">
        <v>0</v>
      </c>
      <c r="BA48" s="113">
        <v>0</v>
      </c>
      <c r="BB48" s="113">
        <v>0</v>
      </c>
      <c r="BC48" s="113">
        <v>0</v>
      </c>
      <c r="BD48" s="113">
        <v>0</v>
      </c>
      <c r="BE48" s="113">
        <v>0</v>
      </c>
      <c r="BF48" s="113">
        <v>0</v>
      </c>
      <c r="BG48" s="113">
        <v>0</v>
      </c>
      <c r="BH48" s="113">
        <v>0</v>
      </c>
      <c r="BI48" s="113">
        <v>0</v>
      </c>
      <c r="BJ48" s="113">
        <v>0</v>
      </c>
      <c r="BK48" s="113">
        <v>0</v>
      </c>
      <c r="BL48" s="113">
        <v>0</v>
      </c>
      <c r="BM48" s="113">
        <v>0</v>
      </c>
      <c r="BN48" s="113">
        <v>0</v>
      </c>
      <c r="BO48" s="113">
        <v>0</v>
      </c>
      <c r="BP48" s="113">
        <v>0</v>
      </c>
      <c r="BQ48" s="113">
        <v>0</v>
      </c>
      <c r="BR48" s="113">
        <v>0</v>
      </c>
      <c r="BS48" s="113">
        <v>0</v>
      </c>
      <c r="BT48" s="113">
        <v>0</v>
      </c>
      <c r="BU48" s="113">
        <v>0</v>
      </c>
      <c r="BV48" s="113">
        <v>0</v>
      </c>
      <c r="BW48" s="113">
        <v>0</v>
      </c>
      <c r="BX48" s="113">
        <v>0</v>
      </c>
      <c r="BY48" s="113">
        <v>0</v>
      </c>
      <c r="BZ48" s="113">
        <v>0</v>
      </c>
      <c r="CA48" s="113">
        <v>0</v>
      </c>
      <c r="CB48" s="113">
        <v>0</v>
      </c>
      <c r="CC48" s="113">
        <v>0</v>
      </c>
      <c r="CD48" s="113">
        <v>0</v>
      </c>
      <c r="CE48" s="113">
        <v>0</v>
      </c>
      <c r="CF48" s="113">
        <v>0</v>
      </c>
      <c r="CG48" s="113">
        <v>0</v>
      </c>
      <c r="CH48" s="113">
        <v>0</v>
      </c>
      <c r="CI48" s="113">
        <v>0</v>
      </c>
      <c r="CJ48" s="113">
        <v>0</v>
      </c>
      <c r="CK48" s="113">
        <v>0</v>
      </c>
      <c r="CL48" s="113">
        <v>0</v>
      </c>
      <c r="CM48" s="113">
        <v>0</v>
      </c>
      <c r="CN48" s="113">
        <v>0</v>
      </c>
      <c r="CO48" s="113">
        <v>0</v>
      </c>
      <c r="CP48" s="113">
        <v>0</v>
      </c>
      <c r="CQ48" s="113">
        <v>0</v>
      </c>
      <c r="CR48" s="113">
        <v>0</v>
      </c>
      <c r="CS48" s="113">
        <v>0</v>
      </c>
      <c r="CT48" s="113">
        <v>0</v>
      </c>
      <c r="CU48" s="113">
        <v>0</v>
      </c>
      <c r="CV48" s="113">
        <v>0</v>
      </c>
      <c r="CW48" s="113">
        <v>0</v>
      </c>
      <c r="CX48" s="113">
        <v>0</v>
      </c>
      <c r="CY48" s="113">
        <v>0</v>
      </c>
      <c r="CZ48" s="113">
        <v>0</v>
      </c>
      <c r="DA48" s="113">
        <v>0</v>
      </c>
      <c r="DB48" s="113">
        <v>0</v>
      </c>
      <c r="DC48" s="113">
        <v>0</v>
      </c>
      <c r="DD48" s="113">
        <v>0</v>
      </c>
      <c r="DE48" s="113">
        <v>0</v>
      </c>
      <c r="DF48" s="113">
        <v>0</v>
      </c>
      <c r="DG48" s="113">
        <v>0</v>
      </c>
      <c r="DH48" s="113">
        <v>0</v>
      </c>
      <c r="DI48" s="113">
        <v>0</v>
      </c>
      <c r="DK48" s="112" t="s">
        <v>282</v>
      </c>
      <c r="DL48" s="113">
        <v>0</v>
      </c>
      <c r="DM48" s="113">
        <v>0</v>
      </c>
      <c r="DN48" s="113">
        <v>0</v>
      </c>
      <c r="DO48" s="113">
        <v>0</v>
      </c>
      <c r="DP48" s="113">
        <v>0</v>
      </c>
      <c r="DQ48" s="113">
        <v>0</v>
      </c>
      <c r="DR48" s="113">
        <v>0</v>
      </c>
      <c r="DS48" s="113">
        <v>0</v>
      </c>
      <c r="DT48" s="113">
        <v>0</v>
      </c>
      <c r="DU48" s="113">
        <v>0</v>
      </c>
      <c r="DV48" s="113">
        <v>0</v>
      </c>
      <c r="DW48" s="113">
        <v>0</v>
      </c>
      <c r="DX48" s="113">
        <v>0</v>
      </c>
      <c r="DY48" s="113">
        <v>0</v>
      </c>
      <c r="DZ48" s="113">
        <v>0</v>
      </c>
      <c r="EA48" s="113">
        <v>0</v>
      </c>
      <c r="EB48" s="113">
        <v>0</v>
      </c>
      <c r="EC48" s="113">
        <v>0</v>
      </c>
      <c r="ED48" s="113">
        <v>0</v>
      </c>
      <c r="EE48" s="113">
        <v>0</v>
      </c>
      <c r="EF48" s="113">
        <v>0</v>
      </c>
      <c r="EG48" s="113">
        <v>0</v>
      </c>
      <c r="EH48" s="113">
        <v>0</v>
      </c>
      <c r="EI48" s="113">
        <v>0</v>
      </c>
      <c r="EJ48" s="113">
        <v>0</v>
      </c>
      <c r="EK48" s="113">
        <v>0</v>
      </c>
      <c r="EL48" s="113">
        <v>0</v>
      </c>
      <c r="EM48" s="113">
        <v>0</v>
      </c>
      <c r="EN48" s="113">
        <v>0</v>
      </c>
      <c r="EO48" s="113">
        <v>0</v>
      </c>
      <c r="EP48" s="113">
        <v>0</v>
      </c>
      <c r="EQ48" s="113">
        <v>0</v>
      </c>
      <c r="ER48" s="113">
        <v>0</v>
      </c>
      <c r="ES48" s="113">
        <v>0</v>
      </c>
      <c r="ET48" s="113">
        <v>0</v>
      </c>
      <c r="EU48" s="113">
        <v>0</v>
      </c>
      <c r="EV48" s="113">
        <v>0</v>
      </c>
      <c r="EW48" s="113">
        <v>0</v>
      </c>
      <c r="EX48" s="113">
        <v>0</v>
      </c>
      <c r="EY48" s="113">
        <v>0</v>
      </c>
      <c r="EZ48" s="113">
        <v>0</v>
      </c>
      <c r="FA48" s="113">
        <v>0</v>
      </c>
      <c r="FB48" s="113">
        <v>0</v>
      </c>
      <c r="FC48" s="113">
        <v>0</v>
      </c>
      <c r="FD48" s="113">
        <v>0</v>
      </c>
      <c r="FE48" s="113">
        <v>0</v>
      </c>
      <c r="FF48" s="113">
        <v>0</v>
      </c>
      <c r="FG48" s="113">
        <v>0</v>
      </c>
      <c r="FH48" s="113">
        <v>0</v>
      </c>
      <c r="FI48" s="113">
        <v>0</v>
      </c>
      <c r="FJ48" s="113">
        <v>0</v>
      </c>
      <c r="FK48" s="113">
        <v>0</v>
      </c>
      <c r="FL48" s="113">
        <v>0</v>
      </c>
      <c r="FM48" s="113">
        <v>0</v>
      </c>
      <c r="FN48" s="113">
        <v>0</v>
      </c>
      <c r="FO48" s="113">
        <v>0</v>
      </c>
      <c r="FP48" s="113">
        <v>0</v>
      </c>
      <c r="FQ48" s="113">
        <v>0</v>
      </c>
      <c r="FR48" s="113">
        <v>0</v>
      </c>
      <c r="FS48" s="113">
        <v>0</v>
      </c>
      <c r="FT48" s="113">
        <v>0</v>
      </c>
      <c r="FU48" s="113">
        <v>0</v>
      </c>
      <c r="FV48" s="113">
        <v>0</v>
      </c>
      <c r="FW48" s="113">
        <v>0</v>
      </c>
      <c r="FX48" s="113">
        <v>0</v>
      </c>
      <c r="FY48" s="113">
        <v>0</v>
      </c>
      <c r="FZ48" s="113">
        <v>0</v>
      </c>
      <c r="GA48" s="113">
        <v>0</v>
      </c>
      <c r="GB48" s="113">
        <v>0</v>
      </c>
      <c r="GC48" s="113">
        <v>0</v>
      </c>
      <c r="GD48" s="113">
        <v>0</v>
      </c>
      <c r="GE48" s="113">
        <v>0</v>
      </c>
      <c r="GF48" s="113">
        <v>0</v>
      </c>
      <c r="GG48" s="113">
        <v>0</v>
      </c>
      <c r="GH48" s="113">
        <v>0</v>
      </c>
      <c r="GI48" s="113">
        <v>0</v>
      </c>
      <c r="GJ48" s="113">
        <v>0</v>
      </c>
      <c r="GK48" s="113">
        <v>0</v>
      </c>
      <c r="GL48" s="113">
        <v>0</v>
      </c>
      <c r="GM48" s="113">
        <v>0</v>
      </c>
      <c r="GN48" s="113">
        <v>0</v>
      </c>
      <c r="GO48" s="113">
        <v>0</v>
      </c>
      <c r="GP48" s="113">
        <v>0</v>
      </c>
      <c r="GQ48" s="113">
        <v>0</v>
      </c>
      <c r="GR48" s="113">
        <v>0</v>
      </c>
      <c r="GS48" s="113">
        <v>0</v>
      </c>
      <c r="GT48" s="113">
        <v>0</v>
      </c>
      <c r="GU48" s="113">
        <v>0</v>
      </c>
      <c r="GV48" s="113">
        <v>0</v>
      </c>
      <c r="GW48" s="113">
        <v>0</v>
      </c>
      <c r="GX48" s="113">
        <v>0</v>
      </c>
      <c r="GY48" s="113">
        <v>0</v>
      </c>
      <c r="GZ48" s="113">
        <v>0</v>
      </c>
      <c r="HA48" s="113">
        <v>0</v>
      </c>
      <c r="HB48" s="113">
        <v>0</v>
      </c>
      <c r="HC48" s="113">
        <v>0</v>
      </c>
      <c r="HD48" s="113">
        <v>0</v>
      </c>
      <c r="HE48" s="113">
        <v>0</v>
      </c>
      <c r="HF48" s="113">
        <v>0</v>
      </c>
      <c r="HG48" s="113">
        <v>0</v>
      </c>
      <c r="HH48" s="113">
        <v>0</v>
      </c>
    </row>
    <row r="49" s="61" customFormat="1" ht="12" x14ac:dyDescent="0.3"/>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5B4CE4-2F9E-4B3B-85A0-E2FA2D3E5795}">
  <sheetPr codeName="Sheet7"/>
  <dimension ref="B2:J40"/>
  <sheetViews>
    <sheetView showGridLines="0" workbookViewId="0">
      <selection activeCell="B9" sqref="B9"/>
    </sheetView>
  </sheetViews>
  <sheetFormatPr defaultRowHeight="14.5" x14ac:dyDescent="0.35"/>
  <cols>
    <col min="1" max="1" width="1.84375" customWidth="1"/>
    <col min="2" max="2" width="18.765625" customWidth="1"/>
    <col min="3" max="3" width="9.23046875" style="61"/>
  </cols>
  <sheetData>
    <row r="2" spans="2:10" ht="19" x14ac:dyDescent="0.35">
      <c r="B2" s="1" t="s">
        <v>289</v>
      </c>
      <c r="C2" s="136"/>
      <c r="D2" s="1"/>
      <c r="E2" s="1"/>
      <c r="F2" s="1"/>
      <c r="G2" s="1"/>
      <c r="H2" s="1"/>
      <c r="I2" s="1"/>
    </row>
    <row r="3" spans="2:10" x14ac:dyDescent="0.35">
      <c r="B3" s="58" t="s">
        <v>290</v>
      </c>
    </row>
    <row r="5" spans="2:10" x14ac:dyDescent="0.35">
      <c r="C5" s="142">
        <f>'I. Control'!D11</f>
        <v>46203</v>
      </c>
    </row>
    <row r="7" spans="2:10" x14ac:dyDescent="0.35">
      <c r="B7" s="119" t="s">
        <v>291</v>
      </c>
      <c r="C7" s="137"/>
      <c r="D7" s="120"/>
      <c r="E7" s="120"/>
      <c r="F7" s="120"/>
      <c r="G7" s="120"/>
      <c r="H7" s="120"/>
      <c r="I7" s="120"/>
    </row>
    <row r="9" spans="2:10" x14ac:dyDescent="0.35">
      <c r="B9" s="116" t="s">
        <v>292</v>
      </c>
      <c r="C9" s="138">
        <f>C15-C32</f>
        <v>1922.2188281259564</v>
      </c>
      <c r="D9" s="61"/>
      <c r="E9" s="61"/>
      <c r="F9" s="61"/>
      <c r="G9" s="61"/>
      <c r="H9" s="61"/>
      <c r="I9" s="61"/>
      <c r="J9" s="61"/>
    </row>
    <row r="10" spans="2:10" x14ac:dyDescent="0.35">
      <c r="B10" s="116" t="s">
        <v>293</v>
      </c>
      <c r="C10" s="139">
        <f>[4]OF!$C$45/10^6</f>
        <v>1244.9443207916829</v>
      </c>
      <c r="D10" s="61"/>
      <c r="E10" s="61"/>
      <c r="F10" s="61"/>
      <c r="G10" s="61"/>
      <c r="H10" s="61"/>
      <c r="I10" s="61"/>
      <c r="J10" s="61"/>
    </row>
    <row r="11" spans="2:10" x14ac:dyDescent="0.35">
      <c r="B11" s="117" t="s">
        <v>294</v>
      </c>
      <c r="C11" s="138">
        <f>C9-C10</f>
        <v>677.27450733427349</v>
      </c>
      <c r="D11" s="61"/>
      <c r="E11" s="61"/>
      <c r="F11" s="61"/>
      <c r="G11" s="61"/>
      <c r="H11" s="61"/>
      <c r="I11" s="61"/>
      <c r="J11" s="61"/>
    </row>
    <row r="12" spans="2:10" x14ac:dyDescent="0.35">
      <c r="B12" s="116" t="s">
        <v>295</v>
      </c>
      <c r="C12" s="140">
        <f>C9/C10</f>
        <v>1.5440199180181666</v>
      </c>
      <c r="D12" s="61"/>
      <c r="E12" s="61"/>
      <c r="F12" s="61"/>
      <c r="G12" s="61"/>
      <c r="H12" s="61"/>
      <c r="I12" s="61"/>
      <c r="J12" s="61"/>
    </row>
    <row r="13" spans="2:10" x14ac:dyDescent="0.35">
      <c r="C13" s="123"/>
      <c r="D13" s="61"/>
      <c r="E13" s="61"/>
      <c r="F13" s="61"/>
      <c r="G13" s="61"/>
      <c r="H13" s="61"/>
      <c r="I13" s="61"/>
      <c r="J13" s="61"/>
    </row>
    <row r="14" spans="2:10" x14ac:dyDescent="0.35">
      <c r="B14" s="119" t="s">
        <v>296</v>
      </c>
      <c r="C14" s="124"/>
      <c r="D14" s="122"/>
      <c r="E14" s="122"/>
      <c r="F14" s="122"/>
      <c r="G14" s="122"/>
      <c r="H14" s="122"/>
      <c r="I14" s="122"/>
      <c r="J14" s="61"/>
    </row>
    <row r="15" spans="2:10" x14ac:dyDescent="0.35">
      <c r="B15" s="116" t="s">
        <v>292</v>
      </c>
      <c r="C15" s="139">
        <f>([4]OF!$C$33-[4]OF!$C$32)/10^6</f>
        <v>1922.2188281259564</v>
      </c>
      <c r="D15" s="61"/>
      <c r="E15" s="61"/>
      <c r="F15" s="61"/>
      <c r="G15" s="61"/>
      <c r="H15" s="61"/>
      <c r="I15" s="61"/>
      <c r="J15" s="61"/>
    </row>
    <row r="16" spans="2:10" x14ac:dyDescent="0.35">
      <c r="B16" s="116" t="s">
        <v>293</v>
      </c>
      <c r="C16" s="139">
        <f>C10/(1-'[5]I. Other Inputs'!$C$33)</f>
        <v>1638.0846326206354</v>
      </c>
      <c r="D16" s="61"/>
      <c r="E16" s="61"/>
      <c r="F16" s="61"/>
      <c r="G16" s="61"/>
      <c r="H16" s="61"/>
      <c r="I16" s="61"/>
      <c r="J16" s="61"/>
    </row>
    <row r="17" spans="2:10" x14ac:dyDescent="0.35">
      <c r="B17" s="117" t="s">
        <v>294</v>
      </c>
      <c r="C17" s="138">
        <f>C15-C16</f>
        <v>284.13419550532103</v>
      </c>
      <c r="D17" s="61"/>
      <c r="E17" s="61"/>
      <c r="F17" s="61"/>
      <c r="G17" s="61"/>
      <c r="H17" s="61"/>
      <c r="I17" s="61"/>
      <c r="J17" s="61"/>
    </row>
    <row r="18" spans="2:10" x14ac:dyDescent="0.35">
      <c r="B18" s="116" t="s">
        <v>295</v>
      </c>
      <c r="C18" s="140">
        <f>C15/C16</f>
        <v>1.1734551376938067</v>
      </c>
      <c r="D18" s="61"/>
      <c r="E18" s="61"/>
      <c r="F18" s="61"/>
      <c r="G18" s="61"/>
      <c r="H18" s="61"/>
      <c r="I18" s="61"/>
      <c r="J18" s="61"/>
    </row>
    <row r="19" spans="2:10" x14ac:dyDescent="0.35">
      <c r="C19" s="123"/>
      <c r="D19" s="61"/>
      <c r="E19" s="61"/>
      <c r="F19" s="61"/>
      <c r="G19" s="61"/>
      <c r="H19" s="61"/>
      <c r="I19" s="61"/>
      <c r="J19" s="61"/>
    </row>
    <row r="20" spans="2:10" x14ac:dyDescent="0.35">
      <c r="B20" s="119" t="s">
        <v>297</v>
      </c>
      <c r="C20" s="124"/>
      <c r="D20" s="122"/>
      <c r="E20" s="122"/>
      <c r="F20" s="122"/>
      <c r="G20" s="122"/>
      <c r="H20" s="122"/>
      <c r="I20" s="122"/>
      <c r="J20" s="61"/>
    </row>
    <row r="21" spans="2:10" x14ac:dyDescent="0.35">
      <c r="B21" s="116" t="s">
        <v>224</v>
      </c>
      <c r="C21" s="139">
        <f>[4]OF!$C$63/10^6</f>
        <v>250</v>
      </c>
      <c r="D21" s="61"/>
      <c r="E21" s="61"/>
      <c r="F21" s="61"/>
      <c r="G21" s="61"/>
      <c r="H21" s="61"/>
      <c r="I21" s="61"/>
      <c r="J21" s="61"/>
    </row>
    <row r="22" spans="2:10" x14ac:dyDescent="0.35">
      <c r="B22" s="116" t="s">
        <v>298</v>
      </c>
      <c r="C22" s="139">
        <f>[4]OF!$C$60/10^6+C21</f>
        <v>1345.9686753979379</v>
      </c>
      <c r="D22" s="61"/>
      <c r="E22" s="61"/>
      <c r="F22" s="61"/>
      <c r="G22" s="61"/>
      <c r="H22" s="61"/>
      <c r="I22" s="61"/>
      <c r="J22" s="61"/>
    </row>
    <row r="23" spans="2:10" x14ac:dyDescent="0.35">
      <c r="B23" s="116" t="s">
        <v>299</v>
      </c>
      <c r="C23" s="139">
        <f>[4]OF!$C$72/10^6</f>
        <v>494.03214815000001</v>
      </c>
      <c r="D23" s="61"/>
      <c r="E23" s="61"/>
      <c r="F23" s="61"/>
      <c r="G23" s="61"/>
      <c r="H23" s="61"/>
      <c r="I23" s="61"/>
      <c r="J23" s="61"/>
    </row>
    <row r="24" spans="2:10" x14ac:dyDescent="0.35">
      <c r="B24" s="116" t="s">
        <v>300</v>
      </c>
      <c r="C24" s="138">
        <f>MAX(C39,0)</f>
        <v>82.218004588018459</v>
      </c>
      <c r="D24" s="61"/>
      <c r="E24" s="61"/>
      <c r="F24" s="61"/>
      <c r="G24" s="61"/>
      <c r="H24" s="61"/>
      <c r="I24" s="61"/>
      <c r="J24" s="61"/>
    </row>
    <row r="25" spans="2:10" x14ac:dyDescent="0.35">
      <c r="B25" s="116" t="s">
        <v>301</v>
      </c>
      <c r="C25" s="139">
        <f>[4]OF!$C$83/10^6</f>
        <v>-1E-8</v>
      </c>
      <c r="D25" s="61"/>
      <c r="E25" s="61"/>
      <c r="F25" s="61"/>
      <c r="G25" s="61"/>
      <c r="H25" s="61"/>
      <c r="I25" s="61"/>
      <c r="J25" s="61"/>
    </row>
    <row r="26" spans="2:10" x14ac:dyDescent="0.35">
      <c r="C26" s="123"/>
      <c r="D26" s="61"/>
      <c r="E26" s="61"/>
      <c r="F26" s="61"/>
      <c r="G26" s="61"/>
      <c r="H26" s="61"/>
      <c r="I26" s="61"/>
      <c r="J26" s="61"/>
    </row>
    <row r="27" spans="2:10" x14ac:dyDescent="0.35">
      <c r="B27" s="119" t="s">
        <v>302</v>
      </c>
      <c r="C27" s="124"/>
      <c r="D27" s="122"/>
      <c r="E27" s="122"/>
      <c r="F27" s="122"/>
      <c r="G27" s="122"/>
      <c r="H27" s="122"/>
      <c r="I27" s="122"/>
      <c r="J27" s="61"/>
    </row>
    <row r="28" spans="2:10" x14ac:dyDescent="0.35">
      <c r="B28" s="116" t="s">
        <v>224</v>
      </c>
      <c r="C28" s="141">
        <f>MIN(C21,MAX(C21-(C22-C21)*p_RT1_Restrict,0))</f>
        <v>0</v>
      </c>
      <c r="D28" s="61"/>
      <c r="E28" s="61"/>
      <c r="F28" s="61"/>
      <c r="G28" s="61"/>
      <c r="H28" s="61"/>
      <c r="I28" s="61"/>
      <c r="J28" s="61"/>
    </row>
    <row r="29" spans="2:10" x14ac:dyDescent="0.35">
      <c r="B29" s="116" t="s">
        <v>303</v>
      </c>
      <c r="C29" s="141">
        <f>MAX(C23+C28+MAX(C24,0)+C25-C10*p_T2T3_Restrict,0)</f>
        <v>0</v>
      </c>
      <c r="D29" s="61"/>
      <c r="E29" s="61"/>
      <c r="F29" s="61"/>
      <c r="G29" s="61"/>
      <c r="H29" s="61"/>
      <c r="I29" s="61"/>
      <c r="J29" s="61"/>
    </row>
    <row r="30" spans="2:10" x14ac:dyDescent="0.35">
      <c r="B30" s="116" t="s">
        <v>228</v>
      </c>
      <c r="C30" s="141">
        <f>MAX(C25+MAX(C24,0)-C10*p_T3_Restrict,0)</f>
        <v>0</v>
      </c>
      <c r="D30" s="61"/>
      <c r="E30" s="61"/>
      <c r="F30" s="61"/>
      <c r="G30" s="61"/>
      <c r="H30" s="61"/>
      <c r="I30" s="61"/>
      <c r="J30" s="61"/>
    </row>
    <row r="31" spans="2:10" x14ac:dyDescent="0.35">
      <c r="C31" s="138"/>
      <c r="D31" s="61"/>
      <c r="E31" s="61"/>
      <c r="F31" s="61"/>
      <c r="G31" s="61"/>
      <c r="H31" s="61"/>
      <c r="I31" s="61"/>
      <c r="J31" s="61"/>
    </row>
    <row r="32" spans="2:10" x14ac:dyDescent="0.35">
      <c r="B32" s="116" t="s">
        <v>304</v>
      </c>
      <c r="C32" s="138">
        <f>MAX(C28:C30)</f>
        <v>0</v>
      </c>
      <c r="D32" s="61"/>
      <c r="E32" s="61"/>
      <c r="F32" s="61"/>
      <c r="G32" s="61"/>
      <c r="H32" s="61"/>
      <c r="I32" s="61"/>
      <c r="J32" s="61"/>
    </row>
    <row r="33" spans="2:10" x14ac:dyDescent="0.35">
      <c r="C33" s="123"/>
      <c r="D33" s="61"/>
      <c r="E33" s="61"/>
      <c r="F33" s="61"/>
      <c r="G33" s="61"/>
      <c r="H33" s="61"/>
      <c r="I33" s="61"/>
      <c r="J33" s="61"/>
    </row>
    <row r="34" spans="2:10" x14ac:dyDescent="0.35">
      <c r="B34" s="120"/>
      <c r="C34" s="124"/>
      <c r="D34" s="122"/>
      <c r="E34" s="122"/>
      <c r="F34" s="122"/>
      <c r="G34" s="122"/>
      <c r="H34" s="122"/>
      <c r="I34" s="122"/>
      <c r="J34" s="61"/>
    </row>
    <row r="35" spans="2:10" x14ac:dyDescent="0.35">
      <c r="B35" s="121" t="s">
        <v>305</v>
      </c>
      <c r="C35" s="123"/>
      <c r="D35" s="61"/>
      <c r="E35" s="61"/>
      <c r="F35" s="61"/>
      <c r="G35" s="61"/>
      <c r="H35" s="61"/>
      <c r="I35" s="61"/>
      <c r="J35" s="61"/>
    </row>
    <row r="36" spans="2:10" x14ac:dyDescent="0.35">
      <c r="B36" s="117" t="s">
        <v>292</v>
      </c>
      <c r="C36" s="123"/>
      <c r="D36" s="61"/>
      <c r="E36" s="61"/>
      <c r="F36" s="61"/>
      <c r="G36" s="61"/>
      <c r="H36" s="61"/>
      <c r="I36" s="61"/>
      <c r="J36" s="61"/>
    </row>
    <row r="37" spans="2:10" x14ac:dyDescent="0.35">
      <c r="B37" s="118" t="s">
        <v>306</v>
      </c>
      <c r="C37" s="139">
        <f>'[4]JRL TBB'!$F$9</f>
        <v>375.92868944999998</v>
      </c>
      <c r="D37" s="61"/>
      <c r="E37" s="61"/>
      <c r="F37" s="61"/>
      <c r="G37" s="61"/>
      <c r="H37" s="61"/>
      <c r="I37" s="61"/>
      <c r="J37" s="61"/>
    </row>
    <row r="38" spans="2:10" x14ac:dyDescent="0.35">
      <c r="B38" s="118" t="s">
        <v>307</v>
      </c>
      <c r="C38" s="139">
        <f>'[4]JRL TBB'!$N$72</f>
        <v>-293.71068486198152</v>
      </c>
      <c r="D38" s="61"/>
      <c r="E38" s="61"/>
      <c r="F38" s="61"/>
      <c r="G38" s="61"/>
      <c r="H38" s="61"/>
      <c r="I38" s="61"/>
      <c r="J38" s="61"/>
    </row>
    <row r="39" spans="2:10" x14ac:dyDescent="0.35">
      <c r="B39" s="117" t="s">
        <v>308</v>
      </c>
      <c r="C39" s="138">
        <f>SUM(C37:C38)</f>
        <v>82.218004588018459</v>
      </c>
      <c r="D39" s="61"/>
      <c r="E39" s="61"/>
      <c r="F39" s="61"/>
      <c r="G39" s="61"/>
      <c r="H39" s="61"/>
      <c r="I39" s="61"/>
      <c r="J39" s="61"/>
    </row>
    <row r="40" spans="2:10" x14ac:dyDescent="0.35">
      <c r="D40" s="61"/>
      <c r="E40" s="61"/>
      <c r="F40" s="61"/>
      <c r="G40" s="61"/>
      <c r="H40" s="61"/>
      <c r="I40" s="61"/>
      <c r="J40" s="61"/>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81CC85-FC90-43D4-BC70-B55D3FA7C82E}">
  <sheetPr codeName="Sheet8"/>
  <dimension ref="B1:S31"/>
  <sheetViews>
    <sheetView showGridLines="0" workbookViewId="0">
      <pane xSplit="2" ySplit="8" topLeftCell="C9" activePane="bottomRight" state="frozen"/>
      <selection pane="topRight" activeCell="C1" sqref="C1"/>
      <selection pane="bottomLeft" activeCell="A9" sqref="A9"/>
      <selection pane="bottomRight" activeCell="E10" sqref="E10:F10"/>
    </sheetView>
  </sheetViews>
  <sheetFormatPr defaultRowHeight="14.5" x14ac:dyDescent="0.35"/>
  <cols>
    <col min="1" max="1" width="1.84375" customWidth="1"/>
    <col min="2" max="2" width="16.765625" customWidth="1"/>
    <col min="3" max="19" width="12.765625" customWidth="1"/>
  </cols>
  <sheetData>
    <row r="1" spans="2:19" x14ac:dyDescent="0.35">
      <c r="C1" s="61"/>
    </row>
    <row r="2" spans="2:19" ht="19" x14ac:dyDescent="0.35">
      <c r="B2" s="1" t="s">
        <v>309</v>
      </c>
      <c r="C2" s="136"/>
      <c r="D2" s="1"/>
      <c r="E2" s="1"/>
      <c r="F2" s="1"/>
      <c r="G2" s="1"/>
      <c r="H2" s="1"/>
      <c r="I2" s="1"/>
    </row>
    <row r="3" spans="2:19" x14ac:dyDescent="0.35">
      <c r="B3" s="58" t="s">
        <v>290</v>
      </c>
      <c r="C3" s="61"/>
    </row>
    <row r="4" spans="2:19" x14ac:dyDescent="0.35">
      <c r="C4" s="61"/>
    </row>
    <row r="5" spans="2:19" x14ac:dyDescent="0.35">
      <c r="C5" s="142">
        <f>'I. Control'!$D$11</f>
        <v>46203</v>
      </c>
      <c r="D5" s="142">
        <f>'I. Control'!$D$11</f>
        <v>46203</v>
      </c>
      <c r="E5" s="142">
        <f>'I. Control'!$D$11</f>
        <v>46203</v>
      </c>
      <c r="F5" s="142">
        <f>'I. Control'!$D$11</f>
        <v>46203</v>
      </c>
      <c r="G5" s="142">
        <f>'I. Control'!$D$11</f>
        <v>46203</v>
      </c>
      <c r="H5" s="142">
        <f>'I. Control'!$D$11</f>
        <v>46203</v>
      </c>
      <c r="I5" s="142">
        <f>'I. Control'!$D$11</f>
        <v>46203</v>
      </c>
      <c r="J5" s="142">
        <f>'I. Control'!$D$11</f>
        <v>46203</v>
      </c>
      <c r="K5" s="142">
        <f>'I. Control'!$D$11</f>
        <v>46203</v>
      </c>
      <c r="L5" s="142">
        <f>'I. Control'!$D$11</f>
        <v>46203</v>
      </c>
      <c r="M5" s="142">
        <f>'I. Control'!$D$11</f>
        <v>46203</v>
      </c>
      <c r="N5" s="142">
        <f>'I. Control'!$D$11</f>
        <v>46203</v>
      </c>
      <c r="O5" s="142">
        <f>'I. Control'!$D$11</f>
        <v>46203</v>
      </c>
      <c r="P5" s="142">
        <f>'I. Control'!$D$11</f>
        <v>46203</v>
      </c>
      <c r="Q5" s="142">
        <f>'I. Control'!$D$11</f>
        <v>46203</v>
      </c>
      <c r="R5" s="142">
        <f>'I. Control'!$D$11</f>
        <v>46203</v>
      </c>
      <c r="S5" s="142">
        <f>'I. Control'!$D$11</f>
        <v>46203</v>
      </c>
    </row>
    <row r="6" spans="2:19" s="144" customFormat="1" ht="48" x14ac:dyDescent="0.35">
      <c r="C6" s="145" t="str">
        <f>'I. Control'!$C$14</f>
        <v>Interest</v>
      </c>
      <c r="D6" s="145" t="str">
        <f>'I. Control'!$C$15</f>
        <v>Inflation</v>
      </c>
      <c r="E6" s="145" t="str">
        <f>'I. Control'!$C$16</f>
        <v>Credit Downgrade and Default</v>
      </c>
      <c r="F6" s="145" t="str">
        <f>'I. Control'!$C$17</f>
        <v>Credit Spread</v>
      </c>
      <c r="G6" s="145" t="str">
        <f>'I. Control'!$C$18</f>
        <v>Property Value</v>
      </c>
      <c r="H6" s="145" t="str">
        <f>'I. Control'!$C$19</f>
        <v>FX</v>
      </c>
      <c r="I6" s="145" t="str">
        <f>'I. Control'!$C$20</f>
        <v>Gilt Swap Spread</v>
      </c>
      <c r="J6" s="145" t="str">
        <f>'I. Control'!$C$21</f>
        <v>Longevity</v>
      </c>
      <c r="K6" s="145" t="str">
        <f>'I. Control'!$C$22</f>
        <v>Withdrawal</v>
      </c>
      <c r="L6" s="145" t="str">
        <f>'I. Control'!$C$23</f>
        <v>Expense</v>
      </c>
      <c r="M6" s="145" t="str">
        <f>'I. Control'!$C$28</f>
        <v>Credit Downgrade, Default and Credit Spread</v>
      </c>
      <c r="N6" s="145" t="str">
        <f>'I. Control'!$C$29</f>
        <v>Credit Downgrade, Default, Credit Spread and Interest</v>
      </c>
      <c r="O6" s="145" t="str">
        <f>'I. Control'!$C$30</f>
        <v>Property and Interest</v>
      </c>
      <c r="P6" s="145" t="str">
        <f>'I. Control'!$C$31</f>
        <v>Credit Downgrade, Default, Credit Spread and Property</v>
      </c>
      <c r="Q6" s="145" t="str">
        <f>'I. Control'!$C$32</f>
        <v>Credit Downgrade, Default, Credit Spread, Property and Interest</v>
      </c>
      <c r="R6" s="145" t="str">
        <f>'I. Control'!$C$33</f>
        <v>PLACEHOLDER</v>
      </c>
      <c r="S6" s="145" t="str">
        <f>'I. Control'!$C$34</f>
        <v>PLACEHOLDER</v>
      </c>
    </row>
    <row r="7" spans="2:19" x14ac:dyDescent="0.35">
      <c r="C7" s="61"/>
    </row>
    <row r="8" spans="2:19" x14ac:dyDescent="0.35">
      <c r="B8" s="119" t="s">
        <v>310</v>
      </c>
      <c r="C8" s="146">
        <f>SUM(C9:C19)</f>
        <v>0</v>
      </c>
      <c r="D8" s="146">
        <f t="shared" ref="D8:S8" si="0">SUM(D9:D19)</f>
        <v>0</v>
      </c>
      <c r="E8" s="146">
        <f t="shared" si="0"/>
        <v>0</v>
      </c>
      <c r="F8" s="146">
        <f t="shared" si="0"/>
        <v>0</v>
      </c>
      <c r="G8" s="146">
        <f t="shared" si="0"/>
        <v>0</v>
      </c>
      <c r="H8" s="148">
        <f t="shared" si="0"/>
        <v>0</v>
      </c>
      <c r="I8" s="146">
        <f t="shared" si="0"/>
        <v>0</v>
      </c>
      <c r="J8" s="146">
        <f t="shared" si="0"/>
        <v>0</v>
      </c>
      <c r="K8" s="146">
        <f t="shared" si="0"/>
        <v>0</v>
      </c>
      <c r="L8" s="146">
        <f t="shared" si="0"/>
        <v>0</v>
      </c>
      <c r="M8" s="146">
        <f t="shared" si="0"/>
        <v>0</v>
      </c>
      <c r="N8" s="146">
        <f t="shared" si="0"/>
        <v>0</v>
      </c>
      <c r="O8" s="146">
        <f t="shared" si="0"/>
        <v>0</v>
      </c>
      <c r="P8" s="146">
        <f t="shared" si="0"/>
        <v>0</v>
      </c>
      <c r="Q8" s="146">
        <f t="shared" si="0"/>
        <v>0</v>
      </c>
      <c r="R8" s="146">
        <f t="shared" si="0"/>
        <v>0</v>
      </c>
      <c r="S8" s="146">
        <f t="shared" si="0"/>
        <v>0</v>
      </c>
    </row>
    <row r="9" spans="2:19" x14ac:dyDescent="0.35">
      <c r="B9" s="143" t="s">
        <v>311</v>
      </c>
      <c r="C9" s="149"/>
      <c r="D9" s="149"/>
      <c r="E9" s="147"/>
      <c r="F9" s="147"/>
      <c r="G9" s="147"/>
      <c r="H9" s="147"/>
      <c r="M9" s="147"/>
      <c r="P9" s="147"/>
    </row>
    <row r="10" spans="2:19" x14ac:dyDescent="0.35">
      <c r="B10" s="143" t="s">
        <v>312</v>
      </c>
      <c r="C10" s="149"/>
      <c r="D10" s="149"/>
      <c r="E10" s="149"/>
      <c r="F10" s="149"/>
      <c r="G10" s="147"/>
      <c r="H10" s="147"/>
      <c r="I10" s="147"/>
    </row>
    <row r="11" spans="2:19" x14ac:dyDescent="0.35">
      <c r="B11" s="143" t="s">
        <v>313</v>
      </c>
      <c r="C11" s="149"/>
      <c r="D11" s="147"/>
      <c r="E11" s="149"/>
      <c r="F11" s="149"/>
      <c r="G11" s="147"/>
      <c r="H11" s="147"/>
      <c r="I11" s="147"/>
    </row>
    <row r="12" spans="2:19" x14ac:dyDescent="0.35">
      <c r="B12" s="143" t="s">
        <v>314</v>
      </c>
      <c r="C12" s="149"/>
      <c r="D12" s="147"/>
      <c r="E12" s="147"/>
      <c r="F12" s="147"/>
      <c r="G12" s="147"/>
      <c r="H12" s="147"/>
      <c r="M12" s="147"/>
      <c r="P12" s="147"/>
    </row>
    <row r="13" spans="2:19" x14ac:dyDescent="0.35">
      <c r="B13" s="143" t="s">
        <v>315</v>
      </c>
      <c r="C13" s="149"/>
      <c r="D13" s="147"/>
      <c r="E13" s="147"/>
      <c r="F13" s="147"/>
      <c r="G13" s="147"/>
      <c r="H13" s="147"/>
      <c r="I13" s="147"/>
      <c r="M13" s="147"/>
      <c r="P13" s="147"/>
    </row>
    <row r="14" spans="2:19" x14ac:dyDescent="0.35">
      <c r="B14" s="143" t="s">
        <v>316</v>
      </c>
      <c r="C14" s="149"/>
      <c r="D14" s="147"/>
      <c r="E14" s="147"/>
      <c r="F14" s="147"/>
      <c r="G14" s="147"/>
      <c r="H14" s="147"/>
      <c r="I14" s="147"/>
      <c r="M14" s="147"/>
      <c r="P14" s="147"/>
    </row>
    <row r="15" spans="2:19" x14ac:dyDescent="0.35">
      <c r="B15" s="143" t="s">
        <v>317</v>
      </c>
      <c r="C15" s="149"/>
      <c r="D15" s="147"/>
      <c r="E15" s="147"/>
      <c r="F15" s="147"/>
      <c r="G15" s="147"/>
      <c r="H15" s="147"/>
      <c r="I15" s="147"/>
      <c r="M15" s="147"/>
      <c r="P15" s="147"/>
    </row>
    <row r="16" spans="2:19" x14ac:dyDescent="0.35">
      <c r="B16" s="143" t="s">
        <v>318</v>
      </c>
      <c r="C16" s="149"/>
      <c r="D16" s="147"/>
      <c r="E16" s="147"/>
      <c r="F16" s="147"/>
      <c r="G16" s="147"/>
      <c r="H16" s="147"/>
      <c r="I16" s="147"/>
      <c r="M16" s="147"/>
      <c r="P16" s="147"/>
    </row>
    <row r="17" spans="2:19" x14ac:dyDescent="0.35">
      <c r="B17" s="143" t="s">
        <v>319</v>
      </c>
      <c r="C17" s="149"/>
      <c r="D17" s="149"/>
      <c r="E17" s="147"/>
      <c r="F17" s="147"/>
      <c r="G17" s="149"/>
      <c r="H17" s="147"/>
      <c r="I17" s="147"/>
      <c r="M17" s="147"/>
    </row>
    <row r="18" spans="2:19" x14ac:dyDescent="0.35">
      <c r="B18" s="143" t="s">
        <v>320</v>
      </c>
      <c r="C18" s="149"/>
      <c r="D18" s="149"/>
      <c r="E18" s="147"/>
      <c r="F18" s="147"/>
      <c r="G18" s="149"/>
      <c r="H18" s="147"/>
      <c r="I18" s="147"/>
      <c r="M18" s="147"/>
    </row>
    <row r="19" spans="2:19" x14ac:dyDescent="0.35">
      <c r="B19" s="143" t="s">
        <v>321</v>
      </c>
      <c r="C19" s="149"/>
      <c r="D19" s="149"/>
      <c r="E19" s="147"/>
      <c r="F19" s="147"/>
      <c r="G19" s="149"/>
      <c r="H19" s="147"/>
      <c r="I19" s="147"/>
      <c r="M19" s="147"/>
    </row>
    <row r="21" spans="2:19" x14ac:dyDescent="0.35">
      <c r="B21" s="119" t="s">
        <v>322</v>
      </c>
      <c r="C21" s="146">
        <f>SUM(C22:C25)</f>
        <v>0</v>
      </c>
      <c r="D21" s="146">
        <f t="shared" ref="D21:S21" si="1">SUM(D22:D25)</f>
        <v>0</v>
      </c>
      <c r="E21" s="146">
        <f t="shared" si="1"/>
        <v>0</v>
      </c>
      <c r="F21" s="146">
        <f t="shared" si="1"/>
        <v>0</v>
      </c>
      <c r="G21" s="146">
        <f t="shared" si="1"/>
        <v>0</v>
      </c>
      <c r="H21" s="146">
        <f t="shared" si="1"/>
        <v>0</v>
      </c>
      <c r="I21" s="146">
        <f t="shared" si="1"/>
        <v>0</v>
      </c>
      <c r="J21" s="146">
        <f t="shared" si="1"/>
        <v>0</v>
      </c>
      <c r="K21" s="146">
        <f t="shared" si="1"/>
        <v>0</v>
      </c>
      <c r="L21" s="146">
        <f t="shared" si="1"/>
        <v>0</v>
      </c>
      <c r="M21" s="146">
        <f t="shared" si="1"/>
        <v>0</v>
      </c>
      <c r="N21" s="146">
        <f t="shared" si="1"/>
        <v>0</v>
      </c>
      <c r="O21" s="146">
        <f t="shared" si="1"/>
        <v>0</v>
      </c>
      <c r="P21" s="146">
        <f t="shared" si="1"/>
        <v>0</v>
      </c>
      <c r="Q21" s="146">
        <f t="shared" si="1"/>
        <v>0</v>
      </c>
      <c r="R21" s="146">
        <f t="shared" si="1"/>
        <v>0</v>
      </c>
      <c r="S21" s="146">
        <f t="shared" si="1"/>
        <v>0</v>
      </c>
    </row>
    <row r="22" spans="2:19" x14ac:dyDescent="0.35">
      <c r="B22" s="143" t="s">
        <v>323</v>
      </c>
      <c r="C22" s="149"/>
      <c r="D22" s="149"/>
      <c r="E22" s="147"/>
      <c r="F22" s="147"/>
      <c r="G22" s="147"/>
      <c r="H22" s="147"/>
      <c r="I22" s="147"/>
      <c r="M22" s="147"/>
      <c r="P22" s="147"/>
    </row>
    <row r="23" spans="2:19" x14ac:dyDescent="0.35">
      <c r="B23" s="143" t="s">
        <v>324</v>
      </c>
      <c r="C23" s="149"/>
      <c r="D23" s="149"/>
      <c r="E23" s="147"/>
      <c r="F23" s="147"/>
      <c r="G23" s="147"/>
      <c r="H23" s="147"/>
      <c r="I23" s="147"/>
      <c r="M23" s="147"/>
      <c r="P23" s="147"/>
    </row>
    <row r="24" spans="2:19" x14ac:dyDescent="0.35">
      <c r="B24" s="143" t="s">
        <v>325</v>
      </c>
      <c r="C24" s="149"/>
      <c r="D24" s="149"/>
      <c r="E24" s="147"/>
      <c r="F24" s="147"/>
      <c r="G24" s="147"/>
      <c r="H24" s="147"/>
      <c r="I24" s="147"/>
      <c r="M24" s="147"/>
      <c r="P24" s="147"/>
    </row>
    <row r="25" spans="2:19" x14ac:dyDescent="0.35">
      <c r="B25" s="143" t="s">
        <v>326</v>
      </c>
      <c r="C25" s="149"/>
      <c r="D25" s="149"/>
      <c r="E25" s="149"/>
      <c r="F25" s="149"/>
      <c r="G25" s="147"/>
      <c r="H25" s="147"/>
      <c r="I25" s="147"/>
    </row>
    <row r="27" spans="2:19" x14ac:dyDescent="0.35">
      <c r="B27" s="119" t="s">
        <v>327</v>
      </c>
      <c r="C27" s="146">
        <f>SUM(C28:C29)</f>
        <v>0</v>
      </c>
      <c r="D27" s="146">
        <f t="shared" ref="D27:S27" si="2">SUM(D28:D29)</f>
        <v>0</v>
      </c>
      <c r="E27" s="146">
        <f t="shared" si="2"/>
        <v>0</v>
      </c>
      <c r="F27" s="146">
        <f t="shared" si="2"/>
        <v>0</v>
      </c>
      <c r="G27" s="146">
        <f t="shared" si="2"/>
        <v>0</v>
      </c>
      <c r="H27" s="146">
        <f t="shared" si="2"/>
        <v>0</v>
      </c>
      <c r="I27" s="146">
        <f t="shared" si="2"/>
        <v>0</v>
      </c>
      <c r="J27" s="146">
        <f t="shared" si="2"/>
        <v>0</v>
      </c>
      <c r="K27" s="146">
        <f t="shared" si="2"/>
        <v>0</v>
      </c>
      <c r="L27" s="146">
        <f t="shared" si="2"/>
        <v>0</v>
      </c>
      <c r="M27" s="146">
        <f t="shared" si="2"/>
        <v>0</v>
      </c>
      <c r="N27" s="146">
        <f t="shared" si="2"/>
        <v>0</v>
      </c>
      <c r="O27" s="146">
        <f t="shared" si="2"/>
        <v>0</v>
      </c>
      <c r="P27" s="146">
        <f t="shared" si="2"/>
        <v>0</v>
      </c>
      <c r="Q27" s="146">
        <f t="shared" si="2"/>
        <v>0</v>
      </c>
      <c r="R27" s="146">
        <f t="shared" si="2"/>
        <v>0</v>
      </c>
      <c r="S27" s="146">
        <f t="shared" si="2"/>
        <v>0</v>
      </c>
    </row>
    <row r="28" spans="2:19" x14ac:dyDescent="0.35">
      <c r="B28" s="143" t="s">
        <v>328</v>
      </c>
      <c r="C28" s="149"/>
      <c r="D28" s="149"/>
      <c r="E28" s="147"/>
      <c r="F28" s="147"/>
      <c r="G28" s="149"/>
      <c r="H28" s="147"/>
      <c r="I28" s="147"/>
      <c r="M28" s="147"/>
    </row>
    <row r="29" spans="2:19" x14ac:dyDescent="0.35">
      <c r="B29" s="143" t="s">
        <v>329</v>
      </c>
      <c r="C29" s="149"/>
      <c r="D29" s="149"/>
      <c r="E29" s="149"/>
      <c r="F29" s="149"/>
      <c r="G29" s="147"/>
      <c r="H29" s="147"/>
    </row>
    <row r="31" spans="2:19" x14ac:dyDescent="0.35">
      <c r="B31" s="119" t="s">
        <v>330</v>
      </c>
      <c r="C31" s="146">
        <f>C8+C21+C27</f>
        <v>0</v>
      </c>
      <c r="D31" s="146">
        <f t="shared" ref="D31:S31" si="3">D8+D21+D27</f>
        <v>0</v>
      </c>
      <c r="E31" s="146">
        <f t="shared" si="3"/>
        <v>0</v>
      </c>
      <c r="F31" s="146">
        <f t="shared" si="3"/>
        <v>0</v>
      </c>
      <c r="G31" s="146">
        <f t="shared" si="3"/>
        <v>0</v>
      </c>
      <c r="H31" s="146">
        <f t="shared" si="3"/>
        <v>0</v>
      </c>
      <c r="I31" s="146">
        <f t="shared" si="3"/>
        <v>0</v>
      </c>
      <c r="J31" s="146">
        <f t="shared" si="3"/>
        <v>0</v>
      </c>
      <c r="K31" s="146">
        <f t="shared" si="3"/>
        <v>0</v>
      </c>
      <c r="L31" s="146">
        <f t="shared" si="3"/>
        <v>0</v>
      </c>
      <c r="M31" s="146">
        <f t="shared" si="3"/>
        <v>0</v>
      </c>
      <c r="N31" s="146">
        <f t="shared" si="3"/>
        <v>0</v>
      </c>
      <c r="O31" s="146">
        <f t="shared" si="3"/>
        <v>0</v>
      </c>
      <c r="P31" s="146">
        <f t="shared" si="3"/>
        <v>0</v>
      </c>
      <c r="Q31" s="146">
        <f t="shared" si="3"/>
        <v>0</v>
      </c>
      <c r="R31" s="146">
        <f t="shared" si="3"/>
        <v>0</v>
      </c>
      <c r="S31" s="146">
        <f t="shared" si="3"/>
        <v>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ef8d9e62-9507-42a4-b241-2ba86af5f877" xsi:nil="true"/>
    <lcf76f155ced4ddcb4097134ff3c332f xmlns="750926cb-f566-494a-aa3e-beb01466f4d5">
      <Terms xmlns="http://schemas.microsoft.com/office/infopath/2007/PartnerControls"/>
    </lcf76f155ced4ddcb4097134ff3c332f>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644A38FDDB3BE84594C3418A62A60DD3" ma:contentTypeVersion="11" ma:contentTypeDescription="Create a new document." ma:contentTypeScope="" ma:versionID="39872d1caa73f96b7e399782d9618a73">
  <xsd:schema xmlns:xsd="http://www.w3.org/2001/XMLSchema" xmlns:xs="http://www.w3.org/2001/XMLSchema" xmlns:p="http://schemas.microsoft.com/office/2006/metadata/properties" xmlns:ns2="750926cb-f566-494a-aa3e-beb01466f4d5" xmlns:ns3="ef8d9e62-9507-42a4-b241-2ba86af5f877" targetNamespace="http://schemas.microsoft.com/office/2006/metadata/properties" ma:root="true" ma:fieldsID="6e19a38d2532e7f30ce0f463ed9687b1" ns2:_="" ns3:_="">
    <xsd:import namespace="750926cb-f566-494a-aa3e-beb01466f4d5"/>
    <xsd:import namespace="ef8d9e62-9507-42a4-b241-2ba86af5f877"/>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DateTaken" minOccurs="0"/>
                <xsd:element ref="ns2:lcf76f155ced4ddcb4097134ff3c332f" minOccurs="0"/>
                <xsd:element ref="ns3:TaxCatchAll" minOccurs="0"/>
                <xsd:element ref="ns2:MediaServiceGenerationTime" minOccurs="0"/>
                <xsd:element ref="ns2:MediaServiceEventHashCode" minOccurs="0"/>
                <xsd:element ref="ns2:MediaServiceOCR"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50926cb-f566-494a-aa3e-beb01466f4d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DateTaken" ma:index="11" nillable="true" ma:displayName="MediaServiceDateTaken" ma:hidden="true" ma:indexed="true" ma:internalName="MediaServiceDateTaken" ma:readOnly="true">
      <xsd:simpleType>
        <xsd:restriction base="dms:Text"/>
      </xsd:simpleType>
    </xsd:element>
    <xsd:element name="lcf76f155ced4ddcb4097134ff3c332f" ma:index="13" nillable="true" ma:taxonomy="true" ma:internalName="lcf76f155ced4ddcb4097134ff3c332f" ma:taxonomyFieldName="MediaServiceImageTags" ma:displayName="Image Tags" ma:readOnly="false" ma:fieldId="{5cf76f15-5ced-4ddc-b409-7134ff3c332f}" ma:taxonomyMulti="true" ma:sspId="2f9271d4-7699-4fc4-8b26-baef9e5f21ee" ma:termSetId="09814cd3-568e-fe90-9814-8d621ff8fb84" ma:anchorId="fba54fb3-c3e1-fe81-a776-ca4b69148c4d" ma:open="true" ma:isKeyword="false">
      <xsd:complexType>
        <xsd:sequence>
          <xsd:element ref="pc:Terms" minOccurs="0" maxOccurs="1"/>
        </xsd:sequence>
      </xsd:complex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OCR" ma:index="17" nillable="true" ma:displayName="Extracted Text" ma:internalName="MediaServiceOCR" ma:readOnly="true">
      <xsd:simpleType>
        <xsd:restriction base="dms:Note">
          <xsd:maxLength value="255"/>
        </xsd:restriction>
      </xsd:simpleType>
    </xsd:element>
    <xsd:element name="MediaLengthInSeconds" ma:index="18"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ef8d9e62-9507-42a4-b241-2ba86af5f877" elementFormDefault="qualified">
    <xsd:import namespace="http://schemas.microsoft.com/office/2006/documentManagement/types"/>
    <xsd:import namespace="http://schemas.microsoft.com/office/infopath/2007/PartnerControls"/>
    <xsd:element name="TaxCatchAll" ma:index="14" nillable="true" ma:displayName="Taxonomy Catch All Column" ma:hidden="true" ma:list="{7cfc3ca4-7dce-4420-8093-48b7aa2471b6}" ma:internalName="TaxCatchAll" ma:showField="CatchAllData" ma:web="ef8d9e62-9507-42a4-b241-2ba86af5f877">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E52DD7CC-3402-49D2-BF7D-2BBB236C49D4}">
  <ds:schemaRefs>
    <ds:schemaRef ds:uri="http://schemas.openxmlformats.org/package/2006/metadata/core-properties"/>
    <ds:schemaRef ds:uri="http://purl.org/dc/elements/1.1/"/>
    <ds:schemaRef ds:uri="http://www.w3.org/XML/1998/namespace"/>
    <ds:schemaRef ds:uri="http://purl.org/dc/terms/"/>
    <ds:schemaRef ds:uri="http://schemas.microsoft.com/office/2006/documentManagement/types"/>
    <ds:schemaRef ds:uri="http://purl.org/dc/dcmitype/"/>
    <ds:schemaRef ds:uri="ef8d9e62-9507-42a4-b241-2ba86af5f877"/>
    <ds:schemaRef ds:uri="http://schemas.microsoft.com/office/infopath/2007/PartnerControls"/>
    <ds:schemaRef ds:uri="750926cb-f566-494a-aa3e-beb01466f4d5"/>
    <ds:schemaRef ds:uri="http://schemas.microsoft.com/office/2006/metadata/properties"/>
  </ds:schemaRefs>
</ds:datastoreItem>
</file>

<file path=customXml/itemProps2.xml><?xml version="1.0" encoding="utf-8"?>
<ds:datastoreItem xmlns:ds="http://schemas.openxmlformats.org/officeDocument/2006/customXml" ds:itemID="{35203D64-387F-4CF8-9EF2-A2F1770F6D67}">
  <ds:schemaRefs>
    <ds:schemaRef ds:uri="http://schemas.microsoft.com/sharepoint/v3/contenttype/forms"/>
  </ds:schemaRefs>
</ds:datastoreItem>
</file>

<file path=customXml/itemProps3.xml><?xml version="1.0" encoding="utf-8"?>
<ds:datastoreItem xmlns:ds="http://schemas.openxmlformats.org/officeDocument/2006/customXml" ds:itemID="{6DEF7A29-D7F8-4440-A6A3-60495D6ADFB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50926cb-f566-494a-aa3e-beb01466f4d5"/>
    <ds:schemaRef ds:uri="ef8d9e62-9507-42a4-b241-2ba86af5f87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29</vt:i4>
      </vt:variant>
    </vt:vector>
  </HeadingPairs>
  <TitlesOfParts>
    <vt:vector size="37" baseType="lpstr">
      <vt:lpstr>EUC Coversheet</vt:lpstr>
      <vt:lpstr>I. Control</vt:lpstr>
      <vt:lpstr>P. Parameter</vt:lpstr>
      <vt:lpstr>I. Other Inputs</vt:lpstr>
      <vt:lpstr>I. Stresses</vt:lpstr>
      <vt:lpstr>I. Credit Stresses</vt:lpstr>
      <vt:lpstr>I.BalanceSheet</vt:lpstr>
      <vt:lpstr>O. Own Funds Deltas</vt:lpstr>
      <vt:lpstr>I_Valuation_Date</vt:lpstr>
      <vt:lpstr>p_25_MCR</vt:lpstr>
      <vt:lpstr>p_45_MCR</vt:lpstr>
      <vt:lpstr>p_IF_LACDT_Offset</vt:lpstr>
      <vt:lpstr>p_IFRS_Tax_Rates</vt:lpstr>
      <vt:lpstr>p_LT_Tax_Rate</vt:lpstr>
      <vt:lpstr>p_MCR_T2_Restrict</vt:lpstr>
      <vt:lpstr>p_NB_LACDT_Offset</vt:lpstr>
      <vt:lpstr>p_RT1_Restrict</vt:lpstr>
      <vt:lpstr>p_T2T3_Restrict</vt:lpstr>
      <vt:lpstr>p_T3_Restrict</vt:lpstr>
      <vt:lpstr>SST_Stage1_Elapsed</vt:lpstr>
      <vt:lpstr>SST_Stage1_Finish</vt:lpstr>
      <vt:lpstr>SST_Stage1_LastRun</vt:lpstr>
      <vt:lpstr>SST_Stage1_LastSuccessfulOutput</vt:lpstr>
      <vt:lpstr>SST_Stage1_Panel</vt:lpstr>
      <vt:lpstr>SST_Stage1_Start</vt:lpstr>
      <vt:lpstr>SST_Stage1_Status</vt:lpstr>
      <vt:lpstr>SST_Stage1_User</vt:lpstr>
      <vt:lpstr>SST_Stage2_Elapsed</vt:lpstr>
      <vt:lpstr>SST_Stage2_Finish</vt:lpstr>
      <vt:lpstr>SST_Stage2_Input</vt:lpstr>
      <vt:lpstr>SST_Stage2_InputRun</vt:lpstr>
      <vt:lpstr>SST_Stage2_LastRun</vt:lpstr>
      <vt:lpstr>SST_Stage2_LastSuccessfulResults</vt:lpstr>
      <vt:lpstr>SST_Stage2_Panel</vt:lpstr>
      <vt:lpstr>SST_Stage2_Start</vt:lpstr>
      <vt:lpstr>SST_Stage2_Status</vt:lpstr>
      <vt:lpstr>SST_Stage2_User</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Sarah Walker</dc:creator>
  <cp:keywords/>
  <dc:description/>
  <cp:lastModifiedBy>Joao Branco</cp:lastModifiedBy>
  <cp:revision/>
  <dcterms:created xsi:type="dcterms:W3CDTF">2026-10-26T15:03:13Z</dcterms:created>
  <dcterms:modified xsi:type="dcterms:W3CDTF">2026-10-28T18:56:13Z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4cfbf660-03f1-4529-adac-8c8f863f1d71_Enabled">
    <vt:lpwstr>true</vt:lpwstr>
  </property>
  <property fmtid="{D5CDD505-2E9C-101B-9397-08002B2CF9AE}" pid="3" name="MSIP_Label_4cfbf660-03f1-4529-adac-8c8f863f1d71_SetDate">
    <vt:lpwstr>2026-10-26T17:40:10Z</vt:lpwstr>
  </property>
  <property fmtid="{D5CDD505-2E9C-101B-9397-08002B2CF9AE}" pid="4" name="MSIP_Label_4cfbf660-03f1-4529-adac-8c8f863f1d71_Method">
    <vt:lpwstr>Standard</vt:lpwstr>
  </property>
  <property fmtid="{D5CDD505-2E9C-101B-9397-08002B2CF9AE}" pid="5" name="MSIP_Label_4cfbf660-03f1-4529-adac-8c8f863f1d71_Name">
    <vt:lpwstr>defa4170-0d19-0005-0004-bc88714345d2</vt:lpwstr>
  </property>
  <property fmtid="{D5CDD505-2E9C-101B-9397-08002B2CF9AE}" pid="6" name="MSIP_Label_4cfbf660-03f1-4529-adac-8c8f863f1d71_SiteId">
    <vt:lpwstr>f924634f-f743-435b-8393-6d2645b5cbd0</vt:lpwstr>
  </property>
  <property fmtid="{D5CDD505-2E9C-101B-9397-08002B2CF9AE}" pid="7" name="MSIP_Label_4cfbf660-03f1-4529-adac-8c8f863f1d71_ActionId">
    <vt:lpwstr>b501966a-f340-4737-ae80-fc510f152b52</vt:lpwstr>
  </property>
  <property fmtid="{D5CDD505-2E9C-101B-9397-08002B2CF9AE}" pid="8" name="MSIP_Label_4cfbf660-03f1-4529-adac-8c8f863f1d71_ContentBits">
    <vt:lpwstr>0</vt:lpwstr>
  </property>
  <property fmtid="{D5CDD505-2E9C-101B-9397-08002B2CF9AE}" pid="9" name="MSIP_Label_4cfbf660-03f1-4529-adac-8c8f863f1d71_Tag">
    <vt:lpwstr>10, 3, 0, 1</vt:lpwstr>
  </property>
  <property fmtid="{D5CDD505-2E9C-101B-9397-08002B2CF9AE}" pid="10" name="ContentTypeId">
    <vt:lpwstr>0x010100644A38FDDB3BE84594C3418A62A60DD3</vt:lpwstr>
  </property>
  <property fmtid="{D5CDD505-2E9C-101B-9397-08002B2CF9AE}" pid="11" name="MediaServiceImageTags">
    <vt:lpwstr/>
  </property>
</Properties>
</file>